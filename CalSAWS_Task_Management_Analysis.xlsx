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amedeloitte-my.sharepoint.com/personal/afaruqui_deloitte_com/Documents/CalSAWS - Research/"/>
    </mc:Choice>
  </mc:AlternateContent>
  <xr:revisionPtr revIDLastSave="56" documentId="11_D2E08667B070DC6D21068C87EEE9C455ADBF78A9" xr6:coauthVersionLast="47" xr6:coauthVersionMax="47" xr10:uidLastSave="{D5623F3C-8711-4759-BF18-FAA3DE672968}"/>
  <bookViews>
    <workbookView xWindow="-28920" yWindow="-120" windowWidth="29040" windowHeight="15720" tabRatio="500" firstSheet="2" activeTab="5" xr2:uid="{00000000-000D-0000-FFFF-FFFF00000000}"/>
  </bookViews>
  <sheets>
    <sheet name="Executive Summary" sheetId="1" r:id="rId1"/>
    <sheet name="Task Status &amp; Volume" sheetId="2" r:id="rId2"/>
    <sheet name="Open Task Backlog" sheetId="3" r:id="rId3"/>
    <sheet name="Expired Task Rate" sheetId="4" r:id="rId4"/>
    <sheet name="Slow County Deep Dive ★" sheetId="5" r:id="rId5"/>
    <sheet name="Customer-Driven Signals" sheetId="6" r:id="rId6"/>
    <sheet name="Methodology &amp; Caveats" sheetId="7" r:id="rId7"/>
  </sheets>
  <definedNames>
    <definedName name="_xlnm._FilterDatabase" localSheetId="3" hidden="1">'Expired Task Rate'!$A$4:$H$29</definedName>
    <definedName name="_xlnm._FilterDatabase" localSheetId="2" hidden="1">'Open Task Backlog'!$A$4:$H$29</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D11" i="2" l="1"/>
  <c r="C11" i="2"/>
  <c r="D10" i="1"/>
</calcChain>
</file>

<file path=xl/sharedStrings.xml><?xml version="1.0" encoding="utf-8"?>
<sst xmlns="http://schemas.openxmlformats.org/spreadsheetml/2006/main" count="531" uniqueCount="232">
  <si>
    <t>CalSAWS Task Management — Findings &amp; Analysis</t>
  </si>
  <si>
    <t>Task Management Database  |  January 2023 – Present  |  Generated May 21, 2026</t>
  </si>
  <si>
    <t>DATABASE SNAPSHOT</t>
  </si>
  <si>
    <t>Total Tasks (since Jan 2023)</t>
  </si>
  <si>
    <t>Data Range (distinct calendar days)</t>
  </si>
  <si>
    <t>Earliest Task Date</t>
  </si>
  <si>
    <t>2023-01-01</t>
  </si>
  <si>
    <t>Tasks in "Assigned" Status (open)</t>
  </si>
  <si>
    <t>Tasks Expired (never completed)</t>
  </si>
  <si>
    <t>Expired Rate</t>
  </si>
  <si>
    <t>Tasks with Start/Stop Time Recorded</t>
  </si>
  <si>
    <t>KEY FINDINGS</t>
  </si>
  <si>
    <t>✔</t>
  </si>
  <si>
    <t>Task backlog — not customer non-compliance — is the primary driver of Medi-Cal processing delays.</t>
  </si>
  <si>
    <t>All four slow-processing Medi-Cal counties (Butte, El Dorado, Lassen, Sonoma) have large open task backlogs averaging 98–258 days.</t>
  </si>
  <si>
    <t>SAR7 expiration (customer Semi-Annual Reports) is only 0.3% system-wide — customers are largely compliant with reporting requirements.</t>
  </si>
  <si>
    <t>⚠</t>
  </si>
  <si>
    <t>Sonoma County has a specific CalHEERS coordination breakdown — 14,622 Medi-Cal/Covered CA tasks averaging 510 days open.</t>
  </si>
  <si>
    <t>Legacy tasks (pre-CalSAWS migration artifacts) represent structural backlog in Butte, El Dorado, and Lassen — not active workload.</t>
  </si>
  <si>
    <t>ℹ</t>
  </si>
  <si>
    <t>OVERDUE_IND and avg_days_to_complete columns in the source data are unreliable as stored. All metrics in this workbook use correct derivations from underlying date columns.</t>
  </si>
  <si>
    <t>WORKBOOK GUIDE</t>
  </si>
  <si>
    <t>Task Status &amp; Volume</t>
  </si>
  <si>
    <t>Overall task breakdown: status distribution, top task categories.</t>
  </si>
  <si>
    <t>Open Task Backlog</t>
  </si>
  <si>
    <t>Currently assigned tasks that are past due — sorted by volume. Shows where work is piling up today.</t>
  </si>
  <si>
    <t>Expired Task Rate</t>
  </si>
  <si>
    <t>Tasks that were never completed before they expired — the clearest signal of dropped work.</t>
  </si>
  <si>
    <t>Slow County Deep Dive</t>
  </si>
  <si>
    <t>★ THE MAIN FINDING. Task profiles for the four counties with slowest Medi-Cal processing.</t>
  </si>
  <si>
    <t>Customer-Driven Signals</t>
  </si>
  <si>
    <t>Analysis of SAR7, IEVS, Portal, and Redetermination tasks — tests the "customer non-response" hypothesis.</t>
  </si>
  <si>
    <t>Methodology &amp; Caveats</t>
  </si>
  <si>
    <t>Data source, known data quality issues, limitations, and recommended next steps.</t>
  </si>
  <si>
    <t>Task Status Distribution &amp; Category Overview</t>
  </si>
  <si>
    <t>Source: TASK_MGMT table  |  Filter: TASK_CREATE_DATE &gt;= 2023-01-01</t>
  </si>
  <si>
    <t>STATUS DISTRIBUTION</t>
  </si>
  <si>
    <t>Code</t>
  </si>
  <si>
    <t>Status</t>
  </si>
  <si>
    <t>Task Count</t>
  </si>
  <si>
    <t>% of Total</t>
  </si>
  <si>
    <t>Overdue Count*</t>
  </si>
  <si>
    <t>Note</t>
  </si>
  <si>
    <t>CO</t>
  </si>
  <si>
    <t>Completed</t>
  </si>
  <si>
    <t>Completed — work done</t>
  </si>
  <si>
    <t>AS</t>
  </si>
  <si>
    <t>Assigned</t>
  </si>
  <si>
    <t>Assigned — open &amp; in queue</t>
  </si>
  <si>
    <t>EX</t>
  </si>
  <si>
    <t>Expired</t>
  </si>
  <si>
    <t>Expired — never completed ⚠</t>
  </si>
  <si>
    <t>VO</t>
  </si>
  <si>
    <t>Void</t>
  </si>
  <si>
    <t>Void — cancelled</t>
  </si>
  <si>
    <t>IP</t>
  </si>
  <si>
    <t>In Process</t>
  </si>
  <si>
    <t>In Process — actively being worked</t>
  </si>
  <si>
    <t>TOTAL</t>
  </si>
  <si>
    <t>* OVERDUE_IND in source data is unreliable (ETL recalculates against today — flags historical completed tasks as overdue). Do not use for analysis. See Methodology tab.</t>
  </si>
  <si>
    <t>TOP TASK CATEGORIES (by volume)</t>
  </si>
  <si>
    <t>Rank</t>
  </si>
  <si>
    <t>Task Category</t>
  </si>
  <si>
    <t>Total Tasks</t>
  </si>
  <si>
    <t>% of Grand Total</t>
  </si>
  <si>
    <t>Case Update</t>
  </si>
  <si>
    <t>Legacy</t>
  </si>
  <si>
    <t>Application Registration</t>
  </si>
  <si>
    <t>MEDS Alert</t>
  </si>
  <si>
    <t>Redetermination</t>
  </si>
  <si>
    <t>EDBC</t>
  </si>
  <si>
    <t>IEVS</t>
  </si>
  <si>
    <t>Self Service Portal Communications</t>
  </si>
  <si>
    <t>Manual</t>
  </si>
  <si>
    <t>SAR7</t>
  </si>
  <si>
    <t>Batch EDBC</t>
  </si>
  <si>
    <t>e-Application</t>
  </si>
  <si>
    <t>MC 355</t>
  </si>
  <si>
    <t>Payment Request</t>
  </si>
  <si>
    <t>CalHEERS</t>
  </si>
  <si>
    <t>CSC</t>
  </si>
  <si>
    <t>VITA</t>
  </si>
  <si>
    <t>e-ICT</t>
  </si>
  <si>
    <t>CMIPSII</t>
  </si>
  <si>
    <t>Time Limits</t>
  </si>
  <si>
    <t>Open Task Backlog — Currently Assigned, Not Yet Completed</t>
  </si>
  <si>
    <t>Tasks with STAT_CODE = "AS"  |  Sorted by open_tasks descending  |  Top 25 shown (1,000-row query limit applies — see Methodology)</t>
  </si>
  <si>
    <t>County Code</t>
  </si>
  <si>
    <t>County Name</t>
  </si>
  <si>
    <t>Program</t>
  </si>
  <si>
    <t>Open Tasks</t>
  </si>
  <si>
    <t>% Past Due</t>
  </si>
  <si>
    <t>Avg Days Open</t>
  </si>
  <si>
    <t>Interpretation</t>
  </si>
  <si>
    <t>01</t>
  </si>
  <si>
    <t>Alameda</t>
  </si>
  <si>
    <t>CalFresh</t>
  </si>
  <si>
    <t>🟠 High — avg &gt;5 months open</t>
  </si>
  <si>
    <t>36</t>
  </si>
  <si>
    <t>San Bernardino</t>
  </si>
  <si>
    <t>Medi-Cal</t>
  </si>
  <si>
    <t>🔴 Critical — avg &gt;10 months open</t>
  </si>
  <si>
    <t>19</t>
  </si>
  <si>
    <t>Los Angeles</t>
  </si>
  <si>
    <t>🟢 Within expected range</t>
  </si>
  <si>
    <t>33</t>
  </si>
  <si>
    <t>Riverside</t>
  </si>
  <si>
    <t>🟡 Moderate — avg &gt;2 months open</t>
  </si>
  <si>
    <t>07</t>
  </si>
  <si>
    <t>Contra Costa</t>
  </si>
  <si>
    <t>GA/GR Automated Solution</t>
  </si>
  <si>
    <t>CalWORKs</t>
  </si>
  <si>
    <t>Welfare to Work</t>
  </si>
  <si>
    <t>15</t>
  </si>
  <si>
    <t>Kern</t>
  </si>
  <si>
    <t>27</t>
  </si>
  <si>
    <t>Monterey</t>
  </si>
  <si>
    <t>39</t>
  </si>
  <si>
    <t>San Joaquin</t>
  </si>
  <si>
    <t>Expired Task Rate — Tasks Never Completed Before Expiry</t>
  </si>
  <si>
    <t>STAT_CODE = "EX" rate  |  Filtered to ≥500 total tasks  |  Top 25 by expired count shown</t>
  </si>
  <si>
    <t>% Expired</t>
  </si>
  <si>
    <t>% Completed</t>
  </si>
  <si>
    <t>GROW</t>
  </si>
  <si>
    <t>Child Care</t>
  </si>
  <si>
    <t>General Assistance/General Relief</t>
  </si>
  <si>
    <t>34</t>
  </si>
  <si>
    <t>Sacramento</t>
  </si>
  <si>
    <t>30</t>
  </si>
  <si>
    <t>Orange</t>
  </si>
  <si>
    <t>37</t>
  </si>
  <si>
    <t>San Diego</t>
  </si>
  <si>
    <t>56</t>
  </si>
  <si>
    <t>Ventura</t>
  </si>
  <si>
    <t>Foster Care</t>
  </si>
  <si>
    <t>CWS</t>
  </si>
  <si>
    <t>Slow County Task Backlog Deep Dive — The Core Finding</t>
  </si>
  <si>
    <t>Task profiles for the four counties with slowest Medi-Cal processing per APPS_PROCESSING analysis  |  All rows shown (complete dataset)</t>
  </si>
  <si>
    <t>CONTEXT</t>
  </si>
  <si>
    <t>The APPS_PROCESSING analysis identified four counties with Medi-Cal timely-processing rates below 58% and average processing times above 160 days:</t>
  </si>
  <si>
    <t xml:space="preserve">    • Butte (04): 50.5% timely / 262 calendar days   • El Dorado (09): 52.3% timely / 163 days</t>
  </si>
  <si>
    <t xml:space="preserve">    • Lassen (18): 50.9% timely / — days             • Sonoma (49): 57.3% timely / — days</t>
  </si>
  <si>
    <t>The table below shows the Medi-Cal task backlog in each of those counties — confirming the causal link between unworked tasks and processing delays.</t>
  </si>
  <si>
    <t>Cases with Tasks</t>
  </si>
  <si>
    <t>Avg Days Open (Assigned)</t>
  </si>
  <si>
    <t>04</t>
  </si>
  <si>
    <t>Butte</t>
  </si>
  <si>
    <t>🟡 Elevated expiration — customer/portal signal</t>
  </si>
  <si>
    <t>🟠 High — tasks unworked for 3–6 months</t>
  </si>
  <si>
    <t>RPA Robotic Process Automation</t>
  </si>
  <si>
    <t>🟡 Moderate — ~2 months average</t>
  </si>
  <si>
    <t>🔴 Severe backlog — tasks unworked for 6–9 months</t>
  </si>
  <si>
    <t>09</t>
  </si>
  <si>
    <t>El Dorado</t>
  </si>
  <si>
    <t>N/A</t>
  </si>
  <si>
    <t>🟢 Within normal range</t>
  </si>
  <si>
    <t>18</t>
  </si>
  <si>
    <t>Lassen</t>
  </si>
  <si>
    <t>49</t>
  </si>
  <si>
    <t>Sonoma</t>
  </si>
  <si>
    <t>IEVS Priority</t>
  </si>
  <si>
    <t>🔴 Critical — CalHEERS coordination breakdown (1.4 yr avg)</t>
  </si>
  <si>
    <t>Screening Packet</t>
  </si>
  <si>
    <t>COUNTY COLOR KEY</t>
  </si>
  <si>
    <t>04 — Butte</t>
  </si>
  <si>
    <t>09 — El Dorado</t>
  </si>
  <si>
    <t>18 — Lassen</t>
  </si>
  <si>
    <t>49 — Sonoma</t>
  </si>
  <si>
    <t>CalHEERS — Sonoma CalHEERS (special)</t>
  </si>
  <si>
    <t>Customer-Driven Task Analysis</t>
  </si>
  <si>
    <t>Tests the hypothesis: "Are customers not responding to data requests?" — SAR7, IEVS, Portal, Redetermination</t>
  </si>
  <si>
    <t>SYSTEM-WIDE SUMMARY BY CATEGORY</t>
  </si>
  <si>
    <t>0.9% — Low. Re-evaluation tasks well-managed overall.</t>
  </si>
  <si>
    <t>2.2% — Moderate. Income verification system tasks; some expiry likely from automated IEVS processes.</t>
  </si>
  <si>
    <t>8.8% — Elevated. Some customers not responding to portal outreach.</t>
  </si>
  <si>
    <t>0.3% — Low. Customers are largely submitting semi-annual reports on time.</t>
  </si>
  <si>
    <t>11.8% — High. Flagged income verification cases frequently not resolved.</t>
  </si>
  <si>
    <t>IEVS Criminal</t>
  </si>
  <si>
    <t>77.5% — Critical. Criminal IEVS cases rarely completed.</t>
  </si>
  <si>
    <t xml:space="preserve">Correspondence </t>
  </si>
  <si>
    <t>0.0% — No expiry observed in this sample.</t>
  </si>
  <si>
    <t>VERDICT ON CUSTOMER NON-RESPONSE HYPOTHESIS</t>
  </si>
  <si>
    <t>NOT the primary driver. SAR7 (customer semi-annual reports) expire at 0.3% — customers are compliant.</t>
  </si>
  <si>
    <t>IEVS Priority (income verification priority flags) is a secondary concern at 11.8% expiry.</t>
  </si>
  <si>
    <t>Self Service Portal Communications at 8.8% is modest — some non-response but not systemic.</t>
  </si>
  <si>
    <t>The dominant driver of delays is task backlog accumulation (staff capacity), confirmed by the Slow County Deep Dive tab.</t>
  </si>
  <si>
    <t>Data source documentation, known data quality issues, limitations, and recommended next steps</t>
  </si>
  <si>
    <t>Data Source</t>
  </si>
  <si>
    <t>Cluster</t>
  </si>
  <si>
    <t>prod-qlik-aurora-task-mgmt (CONFIRMED as a separate physical instance — hostname ip-172-19-2-223, distinct from the main cluster at ip-172-19-2-230)</t>
  </si>
  <si>
    <t>Table</t>
  </si>
  <si>
    <t>calsaws.TASK_MGMT — 89.4M rows, 53 columns, 64.5 GiB</t>
  </si>
  <si>
    <t>Time window</t>
  </si>
  <si>
    <t>TASK_CREATE_DATE &gt;= 2023-01-01 (1,228 distinct calendar days — confirmed as real source-system dates, not ETL artifacts)</t>
  </si>
  <si>
    <t>Date accessed</t>
  </si>
  <si>
    <t>May 2026</t>
  </si>
  <si>
    <t>Known Data Quality Issues</t>
  </si>
  <si>
    <t>OVERDUE_IND</t>
  </si>
  <si>
    <t>⚠ UNRELIABLE. The Qlik ETL recalculates this nightly as (TASK_DUE_DATE &lt; TODAY), which flags historical completed tasks as "overdue." 98.6% of completed tasks show as overdue. This column is NOT used anywhere in this workbook.</t>
  </si>
  <si>
    <t>avg_days_to_complete</t>
  </si>
  <si>
    <t>⚠ UNRELIABLE. Source column shows wildly negative values (e.g., −2.4M days). Appears to be calculated incorrectly for historical/closed records in the ETL. This column is excluded.</t>
  </si>
  <si>
    <t>NUM_DAYS_ASSIGN</t>
  </si>
  <si>
    <t>⚠ UNRELIABLE. Average across all tasks is −150,827 days — physically impossible. Likely stored as DATEDIFF(ASSIGN_DATE, TODAY) for closed tasks, producing large negatives for old records.</t>
  </si>
  <si>
    <t>CREATED_ON / UPDATED_ON</t>
  </si>
  <si>
    <t>Same ETL load-timestamp pattern as main cluster — all rows in a batch share the same timestamp. Use named date columns (TASK_CREATE_DATE, TASK_ASSIGN_DATE, etc.) instead.</t>
  </si>
  <si>
    <t>START_TIME / STOP_TIME</t>
  </si>
  <si>
    <t>Only 0.5% of rows populated (448K of 89M). Represents a worker "time tracking" opt-in feature, not a comprehensive activity log. Real datetime-precision when present.</t>
  </si>
  <si>
    <t>Query Limitations</t>
  </si>
  <si>
    <t>1,000-row limit</t>
  </si>
  <si>
    <t>MySQL Workbench default LIMIT 1000 was applied to the Open Task Backlog and Expired Task Rate queries. Results represent the first 1,000 rows returned, which may not include all counties or categories. The Slow County Deep Dive (26 rows) is complete.</t>
  </si>
  <si>
    <t>Cross-cluster join</t>
  </si>
  <si>
    <t>TASK_MGMT and APPS_PROCESSING are on different Aurora clusters. A direct case-level join (confirming delayed cases have associated task backlogs) requires querying both clusters in the same session or intermediate CASE_ID list export.</t>
  </si>
  <si>
    <t>PGM filter</t>
  </si>
  <si>
    <t>Queries filtered to PGM LIKE '%Medi-Cal%' — may not capture all Medi-Cal-adjacent programs if they use non-standard PGM descriptions.</t>
  </si>
  <si>
    <t>Correct Metrics Used in This Workbook</t>
  </si>
  <si>
    <t>Overdue (open tasks)</t>
  </si>
  <si>
    <t>TASK_DUE_DATE &lt; CURRENT_DATE for tasks with STAT_CODE = "AS" — tasks currently assigned whose deadline has passed.</t>
  </si>
  <si>
    <t>Expired rate</t>
  </si>
  <si>
    <t>COUNT(STAT_CODE = "EX") / COUNT(*) — tasks that expired without being completed. The most reliable "dropped work" signal.</t>
  </si>
  <si>
    <t>Avg days open</t>
  </si>
  <si>
    <t>AVG(DATEDIFF(CURRENT_DATE, TASK_ASSIGN_DATE)) for open tasks — how long currently-active tasks have been sitting.</t>
  </si>
  <si>
    <t>Recommended Next Steps</t>
  </si>
  <si>
    <t>Export CASE_ID list from slow-county APPS_PROCESSING records; use as an IN-list filter against TASK_MGMT to confirm case-level causal link.</t>
  </si>
  <si>
    <t>Sonoma CalHEERS</t>
  </si>
  <si>
    <t>Escalate to Covered California coordination team — 14K tasks averaging 510 days open is likely a specific process or staffing gap.</t>
  </si>
  <si>
    <t>Legacy task cleanup</t>
  </si>
  <si>
    <t>Review Legacy tasks in Butte, El Dorado, and Lassen with platform team — 187–258 day average suggests many are pre-CalSAWS migration artifacts that should be bulk-closed.</t>
  </si>
  <si>
    <t>Re-run without row limit</t>
  </si>
  <si>
    <t>Remove Workbench 1,000-row cap and re-run Open Backlog and Expired Rate queries for a full county-level picture.</t>
  </si>
  <si>
    <t>Connection to Part 1</t>
  </si>
  <si>
    <t>Update executive summary in the APPS_PROCESSING workbook to reference the task management findings as causal evidence.</t>
  </si>
  <si>
    <t>🟡 Moderate — ~3 months average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</si>
</sst>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16" x14ac:knownFonts="1">
    <font>
      <sz val="11"/>
      <color theme="1"/>
      <name val="Calibri"/>
      <family val="2"/>
      <charset val="1"/>
    </font>
    <font>
      <b/>
      <sz val="18"/>
      <color rgb="FF1F4E78"/>
      <name val="Arial"/>
      <charset val="1"/>
    </font>
    <font>
      <i/>
      <sz val="11"/>
      <color rgb="FF7F7F7F"/>
      <name val="Arial"/>
      <charset val="1"/>
    </font>
    <font>
      <b/>
      <sz val="13"/>
      <color rgb="FF1F4E78"/>
      <name val="Arial"/>
      <charset val="1"/>
    </font>
    <font>
      <sz val="11"/>
      <color rgb="FF000000"/>
      <name val="Arial"/>
      <charset val="1"/>
    </font>
    <font>
      <b/>
      <sz val="11"/>
      <color rgb="FF000000"/>
      <name val="Arial"/>
      <charset val="1"/>
    </font>
    <font>
      <b/>
      <sz val="13"/>
      <color rgb="FFC00000"/>
      <name val="Arial"/>
      <charset val="1"/>
    </font>
    <font>
      <b/>
      <sz val="12"/>
      <color rgb="FF1F4E78"/>
      <name val="Arial"/>
      <charset val="1"/>
    </font>
    <font>
      <sz val="11"/>
      <color rgb="FF1F4E78"/>
      <name val="Arial"/>
      <charset val="1"/>
    </font>
    <font>
      <b/>
      <sz val="12"/>
      <color rgb="FFC00000"/>
      <name val="Arial"/>
      <charset val="1"/>
    </font>
    <font>
      <sz val="11"/>
      <color rgb="FFC00000"/>
      <name val="Arial"/>
      <charset val="1"/>
    </font>
    <font>
      <b/>
      <sz val="12"/>
      <color rgb="FF7F7F7F"/>
      <name val="Arial"/>
      <charset val="1"/>
    </font>
    <font>
      <sz val="11"/>
      <color rgb="FF7F7F7F"/>
      <name val="Arial"/>
      <charset val="1"/>
    </font>
    <font>
      <b/>
      <sz val="11"/>
      <color rgb="FFFFFFFF"/>
      <name val="Arial"/>
      <charset val="1"/>
    </font>
    <font>
      <i/>
      <sz val="9"/>
      <color rgb="FF7F7F7F"/>
      <name val="Arial"/>
      <charset val="1"/>
    </font>
    <font>
      <b/>
      <sz val="11"/>
      <color rgb="FFC00000"/>
      <name val="Arial"/>
      <charset val="1"/>
    </font>
  </fonts>
  <fills count="12">
    <fill>
      <patternFill patternType="none"/>
    </fill>
    <fill>
      <patternFill patternType="gray125"/>
    </fill>
    <fill>
      <patternFill patternType="solid">
        <fgColor rgb="FFFFF2CC"/>
        <bgColor rgb="FFFDE9D9"/>
      </patternFill>
    </fill>
    <fill>
      <patternFill patternType="solid">
        <fgColor rgb="FFE2EFDA"/>
        <bgColor rgb="FFF2F2F2"/>
      </patternFill>
    </fill>
    <fill>
      <patternFill patternType="solid">
        <fgColor rgb="FFFCE4D6"/>
        <bgColor rgb="FFFDE9D9"/>
      </patternFill>
    </fill>
    <fill>
      <patternFill patternType="solid">
        <fgColor rgb="FFD9E2F3"/>
        <bgColor rgb="FFE2EFDA"/>
      </patternFill>
    </fill>
    <fill>
      <patternFill patternType="solid">
        <fgColor rgb="FF1F4E78"/>
        <bgColor rgb="FF003366"/>
      </patternFill>
    </fill>
    <fill>
      <patternFill patternType="solid">
        <fgColor rgb="FFF2F2F2"/>
        <bgColor rgb="FFE2EFDA"/>
      </patternFill>
    </fill>
    <fill>
      <patternFill patternType="solid">
        <fgColor rgb="FFFDE9D9"/>
        <bgColor rgb="FFFCE4D6"/>
      </patternFill>
    </fill>
    <fill>
      <patternFill patternType="solid">
        <fgColor rgb="FFF2DCDB"/>
        <bgColor rgb="FFFCE4D6"/>
      </patternFill>
    </fill>
    <fill>
      <patternFill patternType="solid">
        <fgColor rgb="FFE6B8B7"/>
        <bgColor rgb="FFB7B7B7"/>
      </patternFill>
    </fill>
    <fill>
      <patternFill patternType="solid">
        <fgColor rgb="FFF4B942"/>
        <bgColor rgb="FFFF9900"/>
      </patternFill>
    </fill>
  </fills>
  <borders count="2">
    <border>
      <left/>
      <right/>
      <top/>
      <bottom/>
      <diagonal/>
    </border>
    <border>
      <left style="thin">
        <color rgb="FFB7B7B7"/>
      </left>
      <right style="thin">
        <color rgb="FFB7B7B7"/>
      </right>
      <top style="thin">
        <color rgb="FFB7B7B7"/>
      </top>
      <bottom style="thin">
        <color rgb="FFB7B7B7"/>
      </bottom>
      <diagonal/>
    </border>
  </borders>
  <cellStyleXfs count="1">
    <xf numFmtId="0" fontId="0" fillId="0" borderId="0"/>
  </cellStyleXfs>
  <cellXfs count="78">
    <xf numFmtId="0" fontId="0" fillId="0" borderId="0" xfId="0"/>
    <xf numFmtId="0" fontId="4" fillId="10" borderId="1" xfId="0" applyFont="1" applyFill="1" applyBorder="1"/>
    <xf numFmtId="0" fontId="4" fillId="9" borderId="1" xfId="0" applyFont="1" applyFill="1" applyBorder="1"/>
    <xf numFmtId="0" fontId="4" fillId="8" borderId="1" xfId="0" applyFont="1" applyFill="1" applyBorder="1"/>
    <xf numFmtId="0" fontId="4" fillId="5" borderId="1" xfId="0" applyFont="1" applyFill="1" applyBorder="1" applyAlignment="1">
      <alignment horizontal="left" vertical="center" wrapText="1"/>
    </xf>
    <xf numFmtId="0" fontId="14" fillId="0" borderId="0" xfId="0" applyFont="1"/>
    <xf numFmtId="0" fontId="4" fillId="0" borderId="1" xfId="0" applyFont="1" applyBorder="1" applyAlignment="1">
      <alignment horizontal="left" vertical="center" wrapText="1"/>
    </xf>
    <xf numFmtId="0" fontId="12" fillId="2" borderId="1" xfId="0" applyFont="1" applyFill="1" applyBorder="1" applyAlignment="1">
      <alignment horizontal="left" vertical="center" wrapText="1"/>
    </xf>
    <xf numFmtId="0" fontId="10" fillId="4" borderId="1" xfId="0" applyFont="1" applyFill="1" applyBorder="1" applyAlignment="1">
      <alignment horizontal="left" vertical="center" wrapText="1"/>
    </xf>
    <xf numFmtId="0" fontId="8" fillId="3" borderId="1" xfId="0" applyFont="1" applyFill="1" applyBorder="1" applyAlignment="1">
      <alignment horizontal="left" vertical="center" wrapText="1"/>
    </xf>
    <xf numFmtId="0" fontId="4" fillId="2" borderId="1" xfId="0" applyFont="1" applyFill="1" applyBorder="1"/>
    <xf numFmtId="0" fontId="4" fillId="0" borderId="1" xfId="0" applyFont="1" applyBorder="1"/>
    <xf numFmtId="0" fontId="3" fillId="0" borderId="0" xfId="0" applyFont="1"/>
    <xf numFmtId="0" fontId="2" fillId="0" borderId="0" xfId="0" applyFont="1"/>
    <xf numFmtId="0" fontId="1" fillId="0" borderId="0" xfId="0" applyFont="1"/>
    <xf numFmtId="3" fontId="5" fillId="0" borderId="1" xfId="0" applyNumberFormat="1" applyFont="1" applyBorder="1" applyAlignment="1">
      <alignment horizontal="right" vertical="center"/>
    </xf>
    <xf numFmtId="0" fontId="5" fillId="0" borderId="1" xfId="0" applyFont="1" applyBorder="1" applyAlignment="1">
      <alignment horizontal="right" vertical="center"/>
    </xf>
    <xf numFmtId="164" fontId="6" fillId="2" borderId="1" xfId="0" applyNumberFormat="1" applyFont="1" applyFill="1" applyBorder="1" applyAlignment="1">
      <alignment horizontal="right" vertical="center"/>
    </xf>
    <xf numFmtId="0" fontId="7" fillId="3" borderId="1" xfId="0" applyFont="1" applyFill="1" applyBorder="1" applyAlignment="1">
      <alignment horizontal="center" vertical="center" wrapText="1"/>
    </xf>
    <xf numFmtId="0" fontId="9" fillId="4" borderId="1"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5" fillId="5" borderId="1" xfId="0" applyFont="1" applyFill="1" applyBorder="1" applyAlignment="1">
      <alignment horizontal="left" vertical="center" wrapText="1"/>
    </xf>
    <xf numFmtId="0" fontId="4" fillId="0" borderId="1" xfId="0" applyFont="1" applyBorder="1" applyAlignment="1">
      <alignment horizontal="left" vertical="center" wrapText="1"/>
    </xf>
    <xf numFmtId="0" fontId="13" fillId="6" borderId="1" xfId="0" applyFont="1" applyFill="1" applyBorder="1" applyAlignment="1">
      <alignment horizontal="center" vertical="center" wrapText="1"/>
    </xf>
    <xf numFmtId="0" fontId="4" fillId="0" borderId="1" xfId="0" applyFont="1" applyBorder="1" applyAlignment="1">
      <alignment horizontal="center" vertical="center" wrapText="1"/>
    </xf>
    <xf numFmtId="3" fontId="4" fillId="0" borderId="1" xfId="0" applyNumberFormat="1" applyFont="1" applyBorder="1" applyAlignment="1">
      <alignment horizontal="right" vertical="center"/>
    </xf>
    <xf numFmtId="164" fontId="4" fillId="0" borderId="1" xfId="0" applyNumberFormat="1" applyFont="1" applyBorder="1" applyAlignment="1">
      <alignment horizontal="right" vertical="center"/>
    </xf>
    <xf numFmtId="0" fontId="4" fillId="5" borderId="1" xfId="0" applyFont="1" applyFill="1" applyBorder="1" applyAlignment="1">
      <alignment horizontal="center" vertical="center" wrapText="1"/>
    </xf>
    <xf numFmtId="0" fontId="4" fillId="5" borderId="1" xfId="0" applyFont="1" applyFill="1" applyBorder="1" applyAlignment="1">
      <alignment horizontal="left" vertical="center" wrapText="1"/>
    </xf>
    <xf numFmtId="3" fontId="4" fillId="5" borderId="1" xfId="0" applyNumberFormat="1" applyFont="1" applyFill="1" applyBorder="1" applyAlignment="1">
      <alignment horizontal="right" vertical="center"/>
    </xf>
    <xf numFmtId="164" fontId="4" fillId="5" borderId="1" xfId="0" applyNumberFormat="1" applyFont="1" applyFill="1" applyBorder="1" applyAlignment="1">
      <alignment horizontal="right" vertical="center"/>
    </xf>
    <xf numFmtId="3" fontId="5" fillId="5" borderId="1" xfId="0" applyNumberFormat="1" applyFont="1" applyFill="1" applyBorder="1" applyAlignment="1">
      <alignment horizontal="right" vertical="center"/>
    </xf>
    <xf numFmtId="164" fontId="5" fillId="5" borderId="1" xfId="0" applyNumberFormat="1" applyFont="1" applyFill="1" applyBorder="1" applyAlignment="1">
      <alignment horizontal="right" vertical="center"/>
    </xf>
    <xf numFmtId="0" fontId="4" fillId="7" borderId="1" xfId="0" applyFont="1" applyFill="1" applyBorder="1" applyAlignment="1">
      <alignment horizontal="center" vertical="center" wrapText="1"/>
    </xf>
    <xf numFmtId="0" fontId="4" fillId="7" borderId="1" xfId="0" applyFont="1" applyFill="1" applyBorder="1" applyAlignment="1">
      <alignment horizontal="left" vertical="center" wrapText="1"/>
    </xf>
    <xf numFmtId="3" fontId="4" fillId="7" borderId="1" xfId="0" applyNumberFormat="1" applyFont="1" applyFill="1" applyBorder="1" applyAlignment="1">
      <alignment horizontal="right" vertical="center"/>
    </xf>
    <xf numFmtId="164" fontId="4" fillId="7" borderId="1" xfId="0" applyNumberFormat="1" applyFont="1" applyFill="1" applyBorder="1" applyAlignment="1">
      <alignment horizontal="right" vertical="center"/>
    </xf>
    <xf numFmtId="0" fontId="4" fillId="4" borderId="1" xfId="0" applyFont="1" applyFill="1" applyBorder="1" applyAlignment="1">
      <alignment horizontal="center" vertical="center" wrapText="1"/>
    </xf>
    <xf numFmtId="0" fontId="4" fillId="4" borderId="1" xfId="0" applyFont="1" applyFill="1" applyBorder="1" applyAlignment="1">
      <alignment horizontal="left" vertical="center" wrapText="1"/>
    </xf>
    <xf numFmtId="3" fontId="4" fillId="4" borderId="1" xfId="0" applyNumberFormat="1" applyFont="1" applyFill="1" applyBorder="1" applyAlignment="1">
      <alignment horizontal="right" vertical="center"/>
    </xf>
    <xf numFmtId="164" fontId="4" fillId="4" borderId="1" xfId="0" applyNumberFormat="1" applyFont="1" applyFill="1" applyBorder="1" applyAlignment="1">
      <alignment horizontal="right" vertical="center"/>
    </xf>
    <xf numFmtId="165" fontId="4" fillId="4" borderId="1" xfId="0" applyNumberFormat="1" applyFont="1" applyFill="1" applyBorder="1" applyAlignment="1">
      <alignment horizontal="right" vertical="center"/>
    </xf>
    <xf numFmtId="165" fontId="4" fillId="0" borderId="1" xfId="0" applyNumberFormat="1" applyFont="1" applyBorder="1" applyAlignment="1">
      <alignment horizontal="right" vertical="center"/>
    </xf>
    <xf numFmtId="165" fontId="4" fillId="7" borderId="1" xfId="0" applyNumberFormat="1" applyFont="1" applyFill="1" applyBorder="1" applyAlignment="1">
      <alignment horizontal="right" vertical="center"/>
    </xf>
    <xf numFmtId="0" fontId="4" fillId="8" borderId="1" xfId="0" applyFont="1" applyFill="1" applyBorder="1" applyAlignment="1">
      <alignment horizontal="center" vertical="center" wrapText="1"/>
    </xf>
    <xf numFmtId="0" fontId="5" fillId="8" borderId="1" xfId="0" applyFont="1" applyFill="1" applyBorder="1" applyAlignment="1">
      <alignment horizontal="left" vertical="center" wrapText="1"/>
    </xf>
    <xf numFmtId="0" fontId="4" fillId="8" borderId="1" xfId="0" applyFont="1" applyFill="1" applyBorder="1" applyAlignment="1">
      <alignment horizontal="left" vertical="center" wrapText="1"/>
    </xf>
    <xf numFmtId="3" fontId="4" fillId="8" borderId="1" xfId="0" applyNumberFormat="1" applyFont="1" applyFill="1" applyBorder="1" applyAlignment="1">
      <alignment horizontal="right" vertical="center"/>
    </xf>
    <xf numFmtId="164" fontId="4" fillId="8" borderId="1" xfId="0" applyNumberFormat="1" applyFont="1" applyFill="1" applyBorder="1" applyAlignment="1">
      <alignment horizontal="right" vertical="center"/>
    </xf>
    <xf numFmtId="165" fontId="4" fillId="8" borderId="1" xfId="0" applyNumberFormat="1" applyFont="1" applyFill="1" applyBorder="1" applyAlignment="1">
      <alignment horizontal="right" vertical="center"/>
    </xf>
    <xf numFmtId="0" fontId="4" fillId="9" borderId="1" xfId="0" applyFont="1" applyFill="1" applyBorder="1" applyAlignment="1">
      <alignment horizontal="center" vertical="center" wrapText="1"/>
    </xf>
    <xf numFmtId="0" fontId="5" fillId="9" borderId="1" xfId="0" applyFont="1" applyFill="1" applyBorder="1" applyAlignment="1">
      <alignment horizontal="left" vertical="center" wrapText="1"/>
    </xf>
    <xf numFmtId="0" fontId="4" fillId="9" borderId="1" xfId="0" applyFont="1" applyFill="1" applyBorder="1" applyAlignment="1">
      <alignment horizontal="left" vertical="center" wrapText="1"/>
    </xf>
    <xf numFmtId="3" fontId="4" fillId="9" borderId="1" xfId="0" applyNumberFormat="1" applyFont="1" applyFill="1" applyBorder="1" applyAlignment="1">
      <alignment horizontal="right" vertical="center"/>
    </xf>
    <xf numFmtId="164" fontId="4" fillId="9" borderId="1" xfId="0" applyNumberFormat="1" applyFont="1" applyFill="1" applyBorder="1" applyAlignment="1">
      <alignment horizontal="right" vertical="center"/>
    </xf>
    <xf numFmtId="165" fontId="4" fillId="9" borderId="1" xfId="0" applyNumberFormat="1" applyFont="1" applyFill="1" applyBorder="1" applyAlignment="1">
      <alignment horizontal="right" vertical="center"/>
    </xf>
    <xf numFmtId="0" fontId="4" fillId="10" borderId="1" xfId="0" applyFont="1" applyFill="1" applyBorder="1" applyAlignment="1">
      <alignment horizontal="center" vertical="center" wrapText="1"/>
    </xf>
    <xf numFmtId="0" fontId="5" fillId="10" borderId="1" xfId="0" applyFont="1" applyFill="1" applyBorder="1" applyAlignment="1">
      <alignment horizontal="left" vertical="center" wrapText="1"/>
    </xf>
    <xf numFmtId="0" fontId="4" fillId="10" borderId="1" xfId="0" applyFont="1" applyFill="1" applyBorder="1" applyAlignment="1">
      <alignment horizontal="left" vertical="center" wrapText="1"/>
    </xf>
    <xf numFmtId="3" fontId="4" fillId="10" borderId="1" xfId="0" applyNumberFormat="1" applyFont="1" applyFill="1" applyBorder="1" applyAlignment="1">
      <alignment horizontal="right" vertical="center"/>
    </xf>
    <xf numFmtId="164" fontId="4" fillId="10" borderId="1" xfId="0" applyNumberFormat="1" applyFont="1" applyFill="1" applyBorder="1" applyAlignment="1">
      <alignment horizontal="right" vertical="center"/>
    </xf>
    <xf numFmtId="165" fontId="4" fillId="10" borderId="1" xfId="0" applyNumberFormat="1" applyFont="1" applyFill="1" applyBorder="1" applyAlignment="1">
      <alignment horizontal="right" vertical="center"/>
    </xf>
    <xf numFmtId="0" fontId="4" fillId="11" borderId="1" xfId="0" applyFont="1" applyFill="1" applyBorder="1" applyAlignment="1">
      <alignment horizontal="center" vertical="center" wrapText="1"/>
    </xf>
    <xf numFmtId="0" fontId="5" fillId="11" borderId="1" xfId="0" applyFont="1" applyFill="1" applyBorder="1" applyAlignment="1">
      <alignment horizontal="left" vertical="center" wrapText="1"/>
    </xf>
    <xf numFmtId="0" fontId="4" fillId="11" borderId="1" xfId="0" applyFont="1" applyFill="1" applyBorder="1" applyAlignment="1">
      <alignment horizontal="left" vertical="center" wrapText="1"/>
    </xf>
    <xf numFmtId="3" fontId="4" fillId="11" borderId="1" xfId="0" applyNumberFormat="1" applyFont="1" applyFill="1" applyBorder="1" applyAlignment="1">
      <alignment horizontal="right" vertical="center"/>
    </xf>
    <xf numFmtId="164" fontId="4" fillId="11" borderId="1" xfId="0" applyNumberFormat="1" applyFont="1" applyFill="1" applyBorder="1" applyAlignment="1">
      <alignment horizontal="right" vertical="center"/>
    </xf>
    <xf numFmtId="165" fontId="4" fillId="11" borderId="1" xfId="0" applyNumberFormat="1" applyFont="1" applyFill="1" applyBorder="1" applyAlignment="1">
      <alignment horizontal="right" vertical="center"/>
    </xf>
    <xf numFmtId="0" fontId="4" fillId="3" borderId="1" xfId="0" applyFont="1" applyFill="1" applyBorder="1" applyAlignment="1">
      <alignment horizontal="left" vertical="center" wrapText="1"/>
    </xf>
    <xf numFmtId="3" fontId="4" fillId="3" borderId="1" xfId="0" applyNumberFormat="1" applyFont="1" applyFill="1" applyBorder="1" applyAlignment="1">
      <alignment horizontal="right" vertical="center"/>
    </xf>
    <xf numFmtId="164" fontId="4" fillId="3" borderId="1" xfId="0" applyNumberFormat="1" applyFont="1" applyFill="1" applyBorder="1" applyAlignment="1">
      <alignment horizontal="right" vertical="center"/>
    </xf>
    <xf numFmtId="0" fontId="4" fillId="2" borderId="1" xfId="0" applyFont="1" applyFill="1" applyBorder="1" applyAlignment="1">
      <alignment horizontal="left" vertical="center" wrapText="1"/>
    </xf>
    <xf numFmtId="3" fontId="4" fillId="2" borderId="1" xfId="0" applyNumberFormat="1" applyFont="1" applyFill="1" applyBorder="1" applyAlignment="1">
      <alignment horizontal="right" vertical="center"/>
    </xf>
    <xf numFmtId="164" fontId="4" fillId="2" borderId="1" xfId="0" applyNumberFormat="1" applyFont="1" applyFill="1" applyBorder="1" applyAlignment="1">
      <alignment horizontal="right" vertical="center"/>
    </xf>
    <xf numFmtId="0" fontId="5" fillId="0" borderId="1" xfId="0" applyFont="1" applyBorder="1" applyAlignment="1">
      <alignment horizontal="left" vertical="top" wrapText="1"/>
    </xf>
    <xf numFmtId="0" fontId="4" fillId="0" borderId="1" xfId="0" applyFont="1" applyBorder="1" applyAlignment="1">
      <alignment horizontal="left" vertical="top" wrapText="1"/>
    </xf>
    <xf numFmtId="0" fontId="15" fillId="0" borderId="1" xfId="0" applyFont="1" applyBorder="1" applyAlignment="1">
      <alignment horizontal="left" vertical="top" wrapText="1"/>
    </xf>
    <xf numFmtId="0" fontId="4" fillId="11" borderId="1" xfId="0" applyFont="1" applyFill="1" applyBorder="1"/>
  </cellXfs>
  <cellStyles count="1">
    <cellStyle name="Normal" xfId="0" builtinId="0"/>
  </cellStyles>
  <dxfs count="0"/>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7B7B7"/>
      <rgbColor rgb="FF7F7F7F"/>
      <rgbColor rgb="FF9999FF"/>
      <rgbColor rgb="FF993366"/>
      <rgbColor rgb="FFFFF2CC"/>
      <rgbColor rgb="FFF2F2F2"/>
      <rgbColor rgb="FF660066"/>
      <rgbColor rgb="FFFF8080"/>
      <rgbColor rgb="FF0066CC"/>
      <rgbColor rgb="FFD9E2F3"/>
      <rgbColor rgb="FF000080"/>
      <rgbColor rgb="FFFF00FF"/>
      <rgbColor rgb="FFFFFF00"/>
      <rgbColor rgb="FF00FFFF"/>
      <rgbColor rgb="FF800080"/>
      <rgbColor rgb="FF800000"/>
      <rgbColor rgb="FF008080"/>
      <rgbColor rgb="FF0000FF"/>
      <rgbColor rgb="FF00CCFF"/>
      <rgbColor rgb="FFF2DCDB"/>
      <rgbColor rgb="FFE2EFDA"/>
      <rgbColor rgb="FFFDE9D9"/>
      <rgbColor rgb="FF99CCFF"/>
      <rgbColor rgb="FFFCE4D6"/>
      <rgbColor rgb="FFCC99FF"/>
      <rgbColor rgb="FFE6B8B7"/>
      <rgbColor rgb="FF3366FF"/>
      <rgbColor rgb="FF33CCCC"/>
      <rgbColor rgb="FF99CC00"/>
      <rgbColor rgb="FFF4B942"/>
      <rgbColor rgb="FFFF9900"/>
      <rgbColor rgb="FFFF6600"/>
      <rgbColor rgb="FF666699"/>
      <rgbColor rgb="FF969696"/>
      <rgbColor rgb="FF003366"/>
      <rgbColor rgb="FF339966"/>
      <rgbColor rgb="FF003300"/>
      <rgbColor rgb="FF333300"/>
      <rgbColor rgb="FF993300"/>
      <rgbColor rgb="FF993366"/>
      <rgbColor rgb="FF1F4E78"/>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28"/>
  <sheetViews>
    <sheetView showGridLines="0" topLeftCell="A18" zoomScaleNormal="100" workbookViewId="0">
      <selection activeCell="B24" sqref="B24:G24"/>
    </sheetView>
  </sheetViews>
  <sheetFormatPr defaultColWidth="8.6328125" defaultRowHeight="14.5" x14ac:dyDescent="0.35"/>
  <cols>
    <col min="1" max="1" width="16.81640625" customWidth="1"/>
    <col min="2" max="2" width="70" customWidth="1"/>
    <col min="3" max="3" width="1" customWidth="1"/>
    <col min="4" max="4" width="12" customWidth="1"/>
    <col min="5" max="7" width="4" customWidth="1"/>
  </cols>
  <sheetData>
    <row r="1" spans="1:7" ht="21.75" customHeight="1" x14ac:dyDescent="0.5">
      <c r="A1" s="14" t="s">
        <v>0</v>
      </c>
      <c r="B1" s="14"/>
      <c r="C1" s="14"/>
      <c r="D1" s="14"/>
      <c r="E1" s="14"/>
      <c r="F1" s="14"/>
      <c r="G1" s="14"/>
    </row>
    <row r="2" spans="1:7" ht="15" customHeight="1" x14ac:dyDescent="0.35">
      <c r="A2" s="13" t="s">
        <v>1</v>
      </c>
      <c r="B2" s="13"/>
      <c r="C2" s="13"/>
      <c r="D2" s="13"/>
      <c r="E2" s="13"/>
      <c r="F2" s="13"/>
      <c r="G2" s="13"/>
    </row>
    <row r="4" spans="1:7" ht="15.75" customHeight="1" x14ac:dyDescent="0.35">
      <c r="A4" s="12" t="s">
        <v>2</v>
      </c>
      <c r="B4" s="12"/>
      <c r="C4" s="12"/>
      <c r="D4" s="12"/>
      <c r="E4" s="12"/>
      <c r="F4" s="12"/>
      <c r="G4" s="12"/>
    </row>
    <row r="5" spans="1:7" ht="15" customHeight="1" x14ac:dyDescent="0.35">
      <c r="A5" s="11" t="s">
        <v>3</v>
      </c>
      <c r="B5" s="11"/>
      <c r="C5" s="11"/>
      <c r="D5" s="15">
        <v>89397593</v>
      </c>
    </row>
    <row r="6" spans="1:7" ht="15" customHeight="1" x14ac:dyDescent="0.35">
      <c r="A6" s="11" t="s">
        <v>4</v>
      </c>
      <c r="B6" s="11"/>
      <c r="C6" s="11"/>
      <c r="D6" s="15">
        <v>1228</v>
      </c>
    </row>
    <row r="7" spans="1:7" ht="15" customHeight="1" x14ac:dyDescent="0.35">
      <c r="A7" s="11" t="s">
        <v>5</v>
      </c>
      <c r="B7" s="11"/>
      <c r="C7" s="11"/>
      <c r="D7" s="16" t="s">
        <v>6</v>
      </c>
    </row>
    <row r="8" spans="1:7" ht="15" customHeight="1" x14ac:dyDescent="0.35">
      <c r="A8" s="11" t="s">
        <v>7</v>
      </c>
      <c r="B8" s="11"/>
      <c r="C8" s="11"/>
      <c r="D8" s="15">
        <v>8354880</v>
      </c>
    </row>
    <row r="9" spans="1:7" ht="15" customHeight="1" x14ac:dyDescent="0.35">
      <c r="A9" s="11" t="s">
        <v>8</v>
      </c>
      <c r="B9" s="11"/>
      <c r="C9" s="11"/>
      <c r="D9" s="15">
        <v>5632491</v>
      </c>
    </row>
    <row r="10" spans="1:7" ht="15.75" customHeight="1" x14ac:dyDescent="0.35">
      <c r="A10" s="10" t="s">
        <v>9</v>
      </c>
      <c r="B10" s="10"/>
      <c r="C10" s="10"/>
      <c r="D10" s="17">
        <f>D9/D5</f>
        <v>6.300495137492125E-2</v>
      </c>
    </row>
    <row r="11" spans="1:7" ht="15" customHeight="1" x14ac:dyDescent="0.35">
      <c r="A11" s="11" t="s">
        <v>10</v>
      </c>
      <c r="B11" s="11"/>
      <c r="C11" s="11"/>
      <c r="D11" s="15">
        <v>448660</v>
      </c>
    </row>
    <row r="13" spans="1:7" ht="15.75" customHeight="1" x14ac:dyDescent="0.35">
      <c r="A13" s="12" t="s">
        <v>11</v>
      </c>
      <c r="B13" s="12"/>
      <c r="C13" s="12"/>
      <c r="D13" s="12"/>
      <c r="E13" s="12"/>
      <c r="F13" s="12"/>
      <c r="G13" s="12"/>
    </row>
    <row r="14" spans="1:7" ht="24" customHeight="1" x14ac:dyDescent="0.35">
      <c r="A14" s="18" t="s">
        <v>12</v>
      </c>
      <c r="B14" s="9" t="s">
        <v>13</v>
      </c>
      <c r="C14" s="9"/>
      <c r="D14" s="9"/>
      <c r="E14" s="9"/>
      <c r="F14" s="9"/>
      <c r="G14" s="9"/>
    </row>
    <row r="15" spans="1:7" ht="33" customHeight="1" x14ac:dyDescent="0.35">
      <c r="A15" s="18" t="s">
        <v>12</v>
      </c>
      <c r="B15" s="9" t="s">
        <v>14</v>
      </c>
      <c r="C15" s="9"/>
      <c r="D15" s="9"/>
      <c r="E15" s="9"/>
      <c r="F15" s="9"/>
      <c r="G15" s="9"/>
    </row>
    <row r="16" spans="1:7" ht="30" customHeight="1" x14ac:dyDescent="0.35">
      <c r="A16" s="18" t="s">
        <v>12</v>
      </c>
      <c r="B16" s="9" t="s">
        <v>15</v>
      </c>
      <c r="C16" s="9"/>
      <c r="D16" s="9"/>
      <c r="E16" s="9"/>
      <c r="F16" s="9"/>
      <c r="G16" s="9"/>
    </row>
    <row r="17" spans="1:7" ht="28" customHeight="1" x14ac:dyDescent="0.35">
      <c r="A17" s="19" t="s">
        <v>16</v>
      </c>
      <c r="B17" s="8" t="s">
        <v>17</v>
      </c>
      <c r="C17" s="8"/>
      <c r="D17" s="8"/>
      <c r="E17" s="8"/>
      <c r="F17" s="8"/>
      <c r="G17" s="8"/>
    </row>
    <row r="18" spans="1:7" ht="34" customHeight="1" x14ac:dyDescent="0.35">
      <c r="A18" s="19" t="s">
        <v>16</v>
      </c>
      <c r="B18" s="8" t="s">
        <v>18</v>
      </c>
      <c r="C18" s="8"/>
      <c r="D18" s="8"/>
      <c r="E18" s="8"/>
      <c r="F18" s="8"/>
      <c r="G18" s="8"/>
    </row>
    <row r="19" spans="1:7" ht="36" customHeight="1" x14ac:dyDescent="0.35">
      <c r="A19" s="20" t="s">
        <v>19</v>
      </c>
      <c r="B19" s="7" t="s">
        <v>20</v>
      </c>
      <c r="C19" s="7"/>
      <c r="D19" s="7"/>
      <c r="E19" s="7"/>
      <c r="F19" s="7"/>
      <c r="G19" s="7"/>
    </row>
    <row r="22" spans="1:7" ht="16.5" x14ac:dyDescent="0.35">
      <c r="A22" s="12" t="s">
        <v>21</v>
      </c>
      <c r="B22" s="12"/>
      <c r="C22" s="12"/>
      <c r="D22" s="12"/>
      <c r="E22" s="12"/>
      <c r="F22" s="12"/>
      <c r="G22" s="12"/>
    </row>
    <row r="23" spans="1:7" ht="42" x14ac:dyDescent="0.35">
      <c r="A23" s="21" t="s">
        <v>22</v>
      </c>
      <c r="B23" s="6" t="s">
        <v>23</v>
      </c>
      <c r="C23" s="6"/>
      <c r="D23" s="6"/>
      <c r="E23" s="6"/>
      <c r="F23" s="6"/>
      <c r="G23" s="6"/>
    </row>
    <row r="24" spans="1:7" ht="63.5" customHeight="1" x14ac:dyDescent="0.35">
      <c r="A24" s="21" t="s">
        <v>24</v>
      </c>
      <c r="B24" s="6" t="s">
        <v>25</v>
      </c>
      <c r="C24" s="6"/>
      <c r="D24" s="6"/>
      <c r="E24" s="6"/>
      <c r="F24" s="6"/>
      <c r="G24" s="6"/>
    </row>
    <row r="25" spans="1:7" ht="43" customHeight="1" x14ac:dyDescent="0.35">
      <c r="A25" s="21" t="s">
        <v>26</v>
      </c>
      <c r="B25" s="6" t="s">
        <v>27</v>
      </c>
      <c r="C25" s="6"/>
      <c r="D25" s="6"/>
      <c r="E25" s="6"/>
      <c r="F25" s="6"/>
      <c r="G25" s="6"/>
    </row>
    <row r="26" spans="1:7" ht="82" customHeight="1" x14ac:dyDescent="0.35">
      <c r="A26" s="21" t="s">
        <v>28</v>
      </c>
      <c r="B26" s="6" t="s">
        <v>29</v>
      </c>
      <c r="C26" s="6"/>
      <c r="D26" s="6"/>
      <c r="E26" s="6"/>
      <c r="F26" s="6"/>
      <c r="G26" s="6"/>
    </row>
    <row r="27" spans="1:7" ht="53.5" customHeight="1" x14ac:dyDescent="0.35">
      <c r="A27" s="21" t="s">
        <v>30</v>
      </c>
      <c r="B27" s="6" t="s">
        <v>31</v>
      </c>
      <c r="C27" s="6"/>
      <c r="D27" s="6"/>
      <c r="E27" s="6"/>
      <c r="F27" s="6"/>
      <c r="G27" s="6"/>
    </row>
    <row r="28" spans="1:7" ht="46.5" customHeight="1" x14ac:dyDescent="0.35">
      <c r="A28" s="21" t="s">
        <v>32</v>
      </c>
      <c r="B28" s="6" t="s">
        <v>33</v>
      </c>
      <c r="C28" s="6"/>
      <c r="D28" s="6"/>
      <c r="E28" s="6"/>
      <c r="F28" s="6"/>
      <c r="G28" s="6"/>
    </row>
  </sheetData>
  <mergeCells count="24">
    <mergeCell ref="B25:G25"/>
    <mergeCell ref="B26:G26"/>
    <mergeCell ref="B27:G27"/>
    <mergeCell ref="B28:G28"/>
    <mergeCell ref="B18:G18"/>
    <mergeCell ref="B19:G19"/>
    <mergeCell ref="A22:G22"/>
    <mergeCell ref="B23:G23"/>
    <mergeCell ref="B24:G24"/>
    <mergeCell ref="A13:G13"/>
    <mergeCell ref="B14:G14"/>
    <mergeCell ref="B15:G15"/>
    <mergeCell ref="B16:G16"/>
    <mergeCell ref="B17:G17"/>
    <mergeCell ref="A7:C7"/>
    <mergeCell ref="A8:C8"/>
    <mergeCell ref="A9:C9"/>
    <mergeCell ref="A10:C10"/>
    <mergeCell ref="A11:C11"/>
    <mergeCell ref="A1:G1"/>
    <mergeCell ref="A2:G2"/>
    <mergeCell ref="A4:G4"/>
    <mergeCell ref="A5:C5"/>
    <mergeCell ref="A6:C6"/>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37"/>
  <sheetViews>
    <sheetView showGridLines="0" zoomScaleNormal="100" workbookViewId="0">
      <selection sqref="A1:F1"/>
    </sheetView>
  </sheetViews>
  <sheetFormatPr defaultColWidth="8.6328125" defaultRowHeight="14.5" x14ac:dyDescent="0.35"/>
  <cols>
    <col min="1" max="1" width="8" customWidth="1"/>
    <col min="2" max="2" width="38" customWidth="1"/>
    <col min="3" max="3" width="16" customWidth="1"/>
    <col min="4" max="4" width="14" customWidth="1"/>
    <col min="5" max="5" width="30" customWidth="1"/>
    <col min="6" max="6" width="28" customWidth="1"/>
  </cols>
  <sheetData>
    <row r="1" spans="1:6" ht="21.75" customHeight="1" x14ac:dyDescent="0.5">
      <c r="A1" s="14" t="s">
        <v>34</v>
      </c>
      <c r="B1" s="14"/>
      <c r="C1" s="14"/>
      <c r="D1" s="14"/>
      <c r="E1" s="14"/>
      <c r="F1" s="14"/>
    </row>
    <row r="2" spans="1:6" ht="15" customHeight="1" x14ac:dyDescent="0.35">
      <c r="A2" s="13" t="s">
        <v>35</v>
      </c>
      <c r="B2" s="13"/>
      <c r="C2" s="13"/>
      <c r="D2" s="13"/>
      <c r="E2" s="13"/>
      <c r="F2" s="13"/>
    </row>
    <row r="4" spans="1:6" ht="15.75" customHeight="1" x14ac:dyDescent="0.35">
      <c r="A4" s="12" t="s">
        <v>36</v>
      </c>
      <c r="B4" s="12"/>
      <c r="C4" s="12"/>
      <c r="D4" s="12"/>
      <c r="E4" s="12"/>
      <c r="F4" s="12"/>
    </row>
    <row r="5" spans="1:6" ht="39.75" customHeight="1" x14ac:dyDescent="0.35">
      <c r="A5" s="23" t="s">
        <v>37</v>
      </c>
      <c r="B5" s="23" t="s">
        <v>38</v>
      </c>
      <c r="C5" s="23" t="s">
        <v>39</v>
      </c>
      <c r="D5" s="23" t="s">
        <v>40</v>
      </c>
      <c r="E5" s="23" t="s">
        <v>41</v>
      </c>
      <c r="F5" s="23" t="s">
        <v>42</v>
      </c>
    </row>
    <row r="6" spans="1:6" ht="15" customHeight="1" x14ac:dyDescent="0.35">
      <c r="A6" s="24" t="s">
        <v>43</v>
      </c>
      <c r="B6" s="22" t="s">
        <v>44</v>
      </c>
      <c r="C6" s="25">
        <v>72360175</v>
      </c>
      <c r="D6" s="26">
        <v>0.80941972341470103</v>
      </c>
      <c r="E6" s="25">
        <v>71393202</v>
      </c>
      <c r="F6" s="22" t="s">
        <v>45</v>
      </c>
    </row>
    <row r="7" spans="1:6" ht="15" customHeight="1" x14ac:dyDescent="0.35">
      <c r="A7" s="24" t="s">
        <v>46</v>
      </c>
      <c r="B7" s="22" t="s">
        <v>47</v>
      </c>
      <c r="C7" s="25">
        <v>8354880</v>
      </c>
      <c r="D7" s="26">
        <v>9.3457549802263701E-2</v>
      </c>
      <c r="E7" s="25">
        <v>7059949</v>
      </c>
      <c r="F7" s="22" t="s">
        <v>48</v>
      </c>
    </row>
    <row r="8" spans="1:6" ht="26.25" customHeight="1" x14ac:dyDescent="0.35">
      <c r="A8" s="24" t="s">
        <v>49</v>
      </c>
      <c r="B8" s="22" t="s">
        <v>50</v>
      </c>
      <c r="C8" s="25">
        <v>5632491</v>
      </c>
      <c r="D8" s="26">
        <v>6.3004951374921306E-2</v>
      </c>
      <c r="E8" s="25">
        <v>5513097</v>
      </c>
      <c r="F8" s="22" t="s">
        <v>51</v>
      </c>
    </row>
    <row r="9" spans="1:6" ht="15" customHeight="1" x14ac:dyDescent="0.35">
      <c r="A9" s="24" t="s">
        <v>52</v>
      </c>
      <c r="B9" s="22" t="s">
        <v>53</v>
      </c>
      <c r="C9" s="25">
        <v>2991254</v>
      </c>
      <c r="D9" s="26">
        <v>3.3460117880355002E-2</v>
      </c>
      <c r="E9" s="25">
        <v>2929629</v>
      </c>
      <c r="F9" s="22" t="s">
        <v>54</v>
      </c>
    </row>
    <row r="10" spans="1:6" ht="26.25" customHeight="1" x14ac:dyDescent="0.35">
      <c r="A10" s="27" t="s">
        <v>55</v>
      </c>
      <c r="B10" s="28" t="s">
        <v>56</v>
      </c>
      <c r="C10" s="29">
        <v>58793</v>
      </c>
      <c r="D10" s="30">
        <v>6.5765752775916501E-4</v>
      </c>
      <c r="E10" s="29">
        <v>33265</v>
      </c>
      <c r="F10" s="28" t="s">
        <v>57</v>
      </c>
    </row>
    <row r="11" spans="1:6" ht="15" customHeight="1" x14ac:dyDescent="0.35">
      <c r="A11" s="27"/>
      <c r="B11" s="21" t="s">
        <v>58</v>
      </c>
      <c r="C11" s="31">
        <f>SUM(C6:C10)</f>
        <v>89397593</v>
      </c>
      <c r="D11" s="32">
        <f>1</f>
        <v>1</v>
      </c>
      <c r="E11" s="27"/>
      <c r="F11" s="27"/>
    </row>
    <row r="13" spans="1:6" ht="15" customHeight="1" x14ac:dyDescent="0.35">
      <c r="A13" s="5" t="s">
        <v>59</v>
      </c>
      <c r="B13" s="5"/>
      <c r="C13" s="5"/>
      <c r="D13" s="5"/>
      <c r="E13" s="5"/>
      <c r="F13" s="5"/>
    </row>
    <row r="16" spans="1:6" ht="15.75" customHeight="1" x14ac:dyDescent="0.35">
      <c r="A16" s="12" t="s">
        <v>60</v>
      </c>
      <c r="B16" s="12"/>
      <c r="C16" s="12"/>
      <c r="D16" s="12"/>
    </row>
    <row r="17" spans="1:4" ht="39.75" customHeight="1" x14ac:dyDescent="0.35">
      <c r="A17" s="23" t="s">
        <v>61</v>
      </c>
      <c r="B17" s="23" t="s">
        <v>62</v>
      </c>
      <c r="C17" s="23" t="s">
        <v>63</v>
      </c>
      <c r="D17" s="23" t="s">
        <v>64</v>
      </c>
    </row>
    <row r="18" spans="1:4" ht="15" customHeight="1" x14ac:dyDescent="0.35">
      <c r="A18" s="33">
        <v>16</v>
      </c>
      <c r="B18" s="34" t="s">
        <v>65</v>
      </c>
      <c r="C18" s="35">
        <v>35655624</v>
      </c>
      <c r="D18" s="36">
        <v>0.40385715285044399</v>
      </c>
    </row>
    <row r="19" spans="1:4" ht="15" customHeight="1" x14ac:dyDescent="0.35">
      <c r="A19" s="24">
        <v>41</v>
      </c>
      <c r="B19" s="22" t="s">
        <v>66</v>
      </c>
      <c r="C19" s="25">
        <v>20154445</v>
      </c>
      <c r="D19" s="26">
        <v>0.22828142833738899</v>
      </c>
    </row>
    <row r="20" spans="1:4" ht="15" customHeight="1" x14ac:dyDescent="0.35">
      <c r="A20" s="33">
        <v>3</v>
      </c>
      <c r="B20" s="34" t="s">
        <v>67</v>
      </c>
      <c r="C20" s="35">
        <v>5399488</v>
      </c>
      <c r="D20" s="36">
        <v>6.1157865321054002E-2</v>
      </c>
    </row>
    <row r="21" spans="1:4" ht="15" customHeight="1" x14ac:dyDescent="0.35">
      <c r="A21" s="24">
        <v>43</v>
      </c>
      <c r="B21" s="22" t="s">
        <v>68</v>
      </c>
      <c r="C21" s="25">
        <v>4870973</v>
      </c>
      <c r="D21" s="26">
        <v>5.5171584919994299E-2</v>
      </c>
    </row>
    <row r="22" spans="1:4" ht="15" customHeight="1" x14ac:dyDescent="0.35">
      <c r="A22" s="33">
        <v>55</v>
      </c>
      <c r="B22" s="34" t="s">
        <v>69</v>
      </c>
      <c r="C22" s="35">
        <v>4070833</v>
      </c>
      <c r="D22" s="36">
        <v>4.6108715559420102E-2</v>
      </c>
    </row>
    <row r="23" spans="1:4" ht="15" customHeight="1" x14ac:dyDescent="0.35">
      <c r="A23" s="24">
        <v>23</v>
      </c>
      <c r="B23" s="22" t="s">
        <v>70</v>
      </c>
      <c r="C23" s="25">
        <v>4027101</v>
      </c>
      <c r="D23" s="26">
        <v>4.5613380489461501E-2</v>
      </c>
    </row>
    <row r="24" spans="1:4" ht="15" customHeight="1" x14ac:dyDescent="0.35">
      <c r="A24" s="33">
        <v>32</v>
      </c>
      <c r="B24" s="34" t="s">
        <v>71</v>
      </c>
      <c r="C24" s="35">
        <v>2994431</v>
      </c>
      <c r="D24" s="36">
        <v>3.3916735774056503E-2</v>
      </c>
    </row>
    <row r="25" spans="1:4" ht="15" customHeight="1" x14ac:dyDescent="0.35">
      <c r="A25" s="24">
        <v>60</v>
      </c>
      <c r="B25" s="22" t="s">
        <v>72</v>
      </c>
      <c r="C25" s="25">
        <v>2052255</v>
      </c>
      <c r="D25" s="26">
        <v>2.3245080810339699E-2</v>
      </c>
    </row>
    <row r="26" spans="1:4" ht="15" customHeight="1" x14ac:dyDescent="0.35">
      <c r="A26" s="33">
        <v>47</v>
      </c>
      <c r="B26" s="34" t="s">
        <v>73</v>
      </c>
      <c r="C26" s="35">
        <v>1882056</v>
      </c>
      <c r="D26" s="36">
        <v>2.1317304043398499E-2</v>
      </c>
    </row>
    <row r="27" spans="1:4" ht="15" customHeight="1" x14ac:dyDescent="0.35">
      <c r="A27" s="24">
        <v>58</v>
      </c>
      <c r="B27" s="22" t="s">
        <v>74</v>
      </c>
      <c r="C27" s="25">
        <v>1661574</v>
      </c>
      <c r="D27" s="26">
        <v>1.8819991620124901E-2</v>
      </c>
    </row>
    <row r="28" spans="1:4" ht="15" customHeight="1" x14ac:dyDescent="0.35">
      <c r="A28" s="33">
        <v>6</v>
      </c>
      <c r="B28" s="34" t="s">
        <v>75</v>
      </c>
      <c r="C28" s="35">
        <v>934447</v>
      </c>
      <c r="D28" s="36">
        <v>1.05841116371891E-2</v>
      </c>
    </row>
    <row r="29" spans="1:4" ht="15" customHeight="1" x14ac:dyDescent="0.35">
      <c r="A29" s="24">
        <v>69</v>
      </c>
      <c r="B29" s="22" t="s">
        <v>76</v>
      </c>
      <c r="C29" s="25">
        <v>741452</v>
      </c>
      <c r="D29" s="26">
        <v>8.3981335930418E-3</v>
      </c>
    </row>
    <row r="30" spans="1:4" ht="15" customHeight="1" x14ac:dyDescent="0.35">
      <c r="A30" s="33">
        <v>42</v>
      </c>
      <c r="B30" s="34" t="s">
        <v>77</v>
      </c>
      <c r="C30" s="35">
        <v>631154</v>
      </c>
      <c r="D30" s="36">
        <v>7.1488317649459499E-3</v>
      </c>
    </row>
    <row r="31" spans="1:4" ht="15" customHeight="1" x14ac:dyDescent="0.35">
      <c r="A31" s="24">
        <v>49</v>
      </c>
      <c r="B31" s="22" t="s">
        <v>78</v>
      </c>
      <c r="C31" s="25">
        <v>630223</v>
      </c>
      <c r="D31" s="26">
        <v>7.1382866961146301E-3</v>
      </c>
    </row>
    <row r="32" spans="1:4" ht="15" customHeight="1" x14ac:dyDescent="0.35">
      <c r="A32" s="33">
        <v>14</v>
      </c>
      <c r="B32" s="34" t="s">
        <v>79</v>
      </c>
      <c r="C32" s="35">
        <v>624079</v>
      </c>
      <c r="D32" s="36">
        <v>7.0686960377906302E-3</v>
      </c>
    </row>
    <row r="33" spans="1:4" ht="15" customHeight="1" x14ac:dyDescent="0.35">
      <c r="A33" s="24">
        <v>10</v>
      </c>
      <c r="B33" s="22" t="s">
        <v>80</v>
      </c>
      <c r="C33" s="25">
        <v>535663</v>
      </c>
      <c r="D33" s="26">
        <v>6.0672429703467704E-3</v>
      </c>
    </row>
    <row r="34" spans="1:4" ht="15" customHeight="1" x14ac:dyDescent="0.35">
      <c r="A34" s="33">
        <v>66</v>
      </c>
      <c r="B34" s="34" t="s">
        <v>81</v>
      </c>
      <c r="C34" s="35">
        <v>460583</v>
      </c>
      <c r="D34" s="36">
        <v>5.2168415011139904E-3</v>
      </c>
    </row>
    <row r="35" spans="1:4" ht="15" customHeight="1" x14ac:dyDescent="0.35">
      <c r="A35" s="24">
        <v>70</v>
      </c>
      <c r="B35" s="22" t="s">
        <v>82</v>
      </c>
      <c r="C35" s="25">
        <v>373280</v>
      </c>
      <c r="D35" s="26">
        <v>4.2279949445286303E-3</v>
      </c>
    </row>
    <row r="36" spans="1:4" ht="15" customHeight="1" x14ac:dyDescent="0.35">
      <c r="A36" s="33">
        <v>9</v>
      </c>
      <c r="B36" s="34" t="s">
        <v>83</v>
      </c>
      <c r="C36" s="35">
        <v>360306</v>
      </c>
      <c r="D36" s="36">
        <v>4.0810435771628101E-3</v>
      </c>
    </row>
    <row r="37" spans="1:4" ht="15" customHeight="1" x14ac:dyDescent="0.35">
      <c r="A37" s="24">
        <v>63</v>
      </c>
      <c r="B37" s="22" t="s">
        <v>84</v>
      </c>
      <c r="C37" s="25">
        <v>227745</v>
      </c>
      <c r="D37" s="26">
        <v>2.57957755208335E-3</v>
      </c>
    </row>
  </sheetData>
  <mergeCells count="5">
    <mergeCell ref="A1:F1"/>
    <mergeCell ref="A2:F2"/>
    <mergeCell ref="A4:F4"/>
    <mergeCell ref="A13:F13"/>
    <mergeCell ref="A16:D16"/>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29"/>
  <sheetViews>
    <sheetView showGridLines="0" zoomScaleNormal="100" workbookViewId="0">
      <pane ySplit="4" topLeftCell="A5" activePane="bottomLeft" state="frozen"/>
      <selection pane="bottomLeft" sqref="A1:H1"/>
    </sheetView>
  </sheetViews>
  <sheetFormatPr defaultColWidth="8.6328125" defaultRowHeight="14.5" x14ac:dyDescent="0.35"/>
  <cols>
    <col min="1" max="1" width="11" customWidth="1"/>
    <col min="2" max="2" width="18" customWidth="1"/>
    <col min="3" max="3" width="16" customWidth="1"/>
    <col min="4" max="4" width="28" customWidth="1"/>
    <col min="5" max="5" width="14" customWidth="1"/>
    <col min="6" max="6" width="12" customWidth="1"/>
    <col min="7" max="7" width="14" customWidth="1"/>
    <col min="8" max="8" width="32" customWidth="1"/>
  </cols>
  <sheetData>
    <row r="1" spans="1:8" ht="21.75" customHeight="1" x14ac:dyDescent="0.5">
      <c r="A1" s="14" t="s">
        <v>85</v>
      </c>
      <c r="B1" s="14"/>
      <c r="C1" s="14"/>
      <c r="D1" s="14"/>
      <c r="E1" s="14"/>
      <c r="F1" s="14"/>
      <c r="G1" s="14"/>
      <c r="H1" s="14"/>
    </row>
    <row r="2" spans="1:8" ht="15" customHeight="1" x14ac:dyDescent="0.35">
      <c r="A2" s="13" t="s">
        <v>86</v>
      </c>
      <c r="B2" s="13"/>
      <c r="C2" s="13"/>
      <c r="D2" s="13"/>
      <c r="E2" s="13"/>
      <c r="F2" s="13"/>
      <c r="G2" s="13"/>
      <c r="H2" s="13"/>
    </row>
    <row r="4" spans="1:8" ht="39.75" customHeight="1" x14ac:dyDescent="0.35">
      <c r="A4" s="23" t="s">
        <v>87</v>
      </c>
      <c r="B4" s="23" t="s">
        <v>88</v>
      </c>
      <c r="C4" s="23" t="s">
        <v>89</v>
      </c>
      <c r="D4" s="23" t="s">
        <v>62</v>
      </c>
      <c r="E4" s="23" t="s">
        <v>90</v>
      </c>
      <c r="F4" s="23" t="s">
        <v>91</v>
      </c>
      <c r="G4" s="23" t="s">
        <v>92</v>
      </c>
      <c r="H4" s="23" t="s">
        <v>93</v>
      </c>
    </row>
    <row r="5" spans="1:8" ht="37" customHeight="1" x14ac:dyDescent="0.35">
      <c r="A5" s="37" t="s">
        <v>94</v>
      </c>
      <c r="B5" s="38" t="s">
        <v>95</v>
      </c>
      <c r="C5" s="38" t="s">
        <v>96</v>
      </c>
      <c r="D5" s="38" t="s">
        <v>65</v>
      </c>
      <c r="E5" s="39">
        <v>875264</v>
      </c>
      <c r="F5" s="40">
        <v>0.98799999999999999</v>
      </c>
      <c r="G5" s="41">
        <v>224.1</v>
      </c>
      <c r="H5" s="38" t="s">
        <v>97</v>
      </c>
    </row>
    <row r="6" spans="1:8" ht="18" customHeight="1" x14ac:dyDescent="0.35">
      <c r="A6" s="37" t="s">
        <v>98</v>
      </c>
      <c r="B6" s="38" t="s">
        <v>99</v>
      </c>
      <c r="C6" s="38" t="s">
        <v>100</v>
      </c>
      <c r="D6" s="38" t="s">
        <v>66</v>
      </c>
      <c r="E6" s="39">
        <v>616658</v>
      </c>
      <c r="F6" s="40">
        <v>0.92100000000000004</v>
      </c>
      <c r="G6" s="41">
        <v>217</v>
      </c>
      <c r="H6" s="38" t="s">
        <v>97</v>
      </c>
    </row>
    <row r="7" spans="1:8" ht="18" customHeight="1" x14ac:dyDescent="0.35">
      <c r="A7" s="37" t="s">
        <v>94</v>
      </c>
      <c r="B7" s="38" t="s">
        <v>95</v>
      </c>
      <c r="C7" s="38" t="s">
        <v>100</v>
      </c>
      <c r="D7" s="38" t="s">
        <v>65</v>
      </c>
      <c r="E7" s="39">
        <v>609171</v>
      </c>
      <c r="F7" s="40">
        <v>0.96799999999999997</v>
      </c>
      <c r="G7" s="41">
        <v>208</v>
      </c>
      <c r="H7" s="38" t="s">
        <v>97</v>
      </c>
    </row>
    <row r="8" spans="1:8" ht="39" customHeight="1" x14ac:dyDescent="0.35">
      <c r="A8" s="37" t="s">
        <v>94</v>
      </c>
      <c r="B8" s="38" t="s">
        <v>95</v>
      </c>
      <c r="C8" s="38" t="s">
        <v>100</v>
      </c>
      <c r="D8" s="38" t="s">
        <v>68</v>
      </c>
      <c r="E8" s="39">
        <v>281981</v>
      </c>
      <c r="F8" s="40">
        <v>0.94399999999999995</v>
      </c>
      <c r="G8" s="41">
        <v>323.5</v>
      </c>
      <c r="H8" s="38" t="s">
        <v>101</v>
      </c>
    </row>
    <row r="9" spans="1:8" ht="18" customHeight="1" x14ac:dyDescent="0.35">
      <c r="A9" s="24" t="s">
        <v>98</v>
      </c>
      <c r="B9" s="22" t="s">
        <v>99</v>
      </c>
      <c r="C9" s="22" t="s">
        <v>96</v>
      </c>
      <c r="D9" s="22" t="s">
        <v>66</v>
      </c>
      <c r="E9" s="25">
        <v>261033</v>
      </c>
      <c r="F9" s="26">
        <v>0.87</v>
      </c>
      <c r="G9" s="42">
        <v>197.1</v>
      </c>
      <c r="H9" s="22" t="s">
        <v>97</v>
      </c>
    </row>
    <row r="10" spans="1:8" ht="18" customHeight="1" x14ac:dyDescent="0.35">
      <c r="A10" s="33" t="s">
        <v>102</v>
      </c>
      <c r="B10" s="34" t="s">
        <v>103</v>
      </c>
      <c r="C10" s="34" t="s">
        <v>100</v>
      </c>
      <c r="D10" s="34" t="s">
        <v>65</v>
      </c>
      <c r="E10" s="35">
        <v>259906</v>
      </c>
      <c r="F10" s="36">
        <v>0.76500000000000001</v>
      </c>
      <c r="G10" s="43">
        <v>33.200000000000003</v>
      </c>
      <c r="H10" s="34" t="s">
        <v>104</v>
      </c>
    </row>
    <row r="11" spans="1:8" ht="32.5" customHeight="1" x14ac:dyDescent="0.35">
      <c r="A11" s="24" t="s">
        <v>105</v>
      </c>
      <c r="B11" s="22" t="s">
        <v>106</v>
      </c>
      <c r="C11" s="22" t="s">
        <v>100</v>
      </c>
      <c r="D11" s="22" t="s">
        <v>66</v>
      </c>
      <c r="E11" s="25">
        <v>201729</v>
      </c>
      <c r="F11" s="26">
        <v>0.91600000000000004</v>
      </c>
      <c r="G11" s="42">
        <v>78.099999999999994</v>
      </c>
      <c r="H11" s="22" t="s">
        <v>107</v>
      </c>
    </row>
    <row r="12" spans="1:8" ht="18" customHeight="1" x14ac:dyDescent="0.35">
      <c r="A12" s="33" t="s">
        <v>102</v>
      </c>
      <c r="B12" s="34" t="s">
        <v>103</v>
      </c>
      <c r="C12" s="34" t="s">
        <v>96</v>
      </c>
      <c r="D12" s="34" t="s">
        <v>65</v>
      </c>
      <c r="E12" s="35">
        <v>183750</v>
      </c>
      <c r="F12" s="36">
        <v>0.65100000000000002</v>
      </c>
      <c r="G12" s="43">
        <v>26</v>
      </c>
      <c r="H12" s="34" t="s">
        <v>104</v>
      </c>
    </row>
    <row r="13" spans="1:8" ht="18" customHeight="1" x14ac:dyDescent="0.35">
      <c r="A13" s="37" t="s">
        <v>108</v>
      </c>
      <c r="B13" s="38" t="s">
        <v>109</v>
      </c>
      <c r="C13" s="38" t="s">
        <v>100</v>
      </c>
      <c r="D13" s="38" t="s">
        <v>65</v>
      </c>
      <c r="E13" s="39">
        <v>149872</v>
      </c>
      <c r="F13" s="40">
        <v>0.96199999999999997</v>
      </c>
      <c r="G13" s="41">
        <v>285.39999999999998</v>
      </c>
      <c r="H13" s="38" t="s">
        <v>97</v>
      </c>
    </row>
    <row r="14" spans="1:8" ht="18" customHeight="1" x14ac:dyDescent="0.35">
      <c r="A14" s="37" t="s">
        <v>94</v>
      </c>
      <c r="B14" s="38" t="s">
        <v>95</v>
      </c>
      <c r="C14" s="38" t="s">
        <v>110</v>
      </c>
      <c r="D14" s="38" t="s">
        <v>65</v>
      </c>
      <c r="E14" s="39">
        <v>121769</v>
      </c>
      <c r="F14" s="40">
        <v>0.98499999999999999</v>
      </c>
      <c r="G14" s="41">
        <v>261.7</v>
      </c>
      <c r="H14" s="38" t="s">
        <v>97</v>
      </c>
    </row>
    <row r="15" spans="1:8" ht="18" customHeight="1" x14ac:dyDescent="0.35">
      <c r="A15" s="37" t="s">
        <v>94</v>
      </c>
      <c r="B15" s="38" t="s">
        <v>95</v>
      </c>
      <c r="C15" s="38" t="s">
        <v>96</v>
      </c>
      <c r="D15" s="38" t="s">
        <v>71</v>
      </c>
      <c r="E15" s="39">
        <v>121087</v>
      </c>
      <c r="F15" s="40">
        <v>0.92400000000000004</v>
      </c>
      <c r="G15" s="41">
        <v>239.3</v>
      </c>
      <c r="H15" s="38" t="s">
        <v>97</v>
      </c>
    </row>
    <row r="16" spans="1:8" ht="18" customHeight="1" x14ac:dyDescent="0.35">
      <c r="A16" s="37" t="s">
        <v>94</v>
      </c>
      <c r="B16" s="38" t="s">
        <v>95</v>
      </c>
      <c r="C16" s="38" t="s">
        <v>111</v>
      </c>
      <c r="D16" s="38" t="s">
        <v>65</v>
      </c>
      <c r="E16" s="39">
        <v>114424</v>
      </c>
      <c r="F16" s="40">
        <v>0.98299999999999998</v>
      </c>
      <c r="G16" s="41">
        <v>210.5</v>
      </c>
      <c r="H16" s="38" t="s">
        <v>97</v>
      </c>
    </row>
    <row r="17" spans="1:8" ht="31" customHeight="1" x14ac:dyDescent="0.35">
      <c r="A17" s="24" t="s">
        <v>102</v>
      </c>
      <c r="B17" s="22" t="s">
        <v>103</v>
      </c>
      <c r="C17" s="22" t="s">
        <v>100</v>
      </c>
      <c r="D17" s="22" t="s">
        <v>68</v>
      </c>
      <c r="E17" s="25">
        <v>113789</v>
      </c>
      <c r="F17" s="26">
        <v>0.58199999999999996</v>
      </c>
      <c r="G17" s="42">
        <v>111.3</v>
      </c>
      <c r="H17" s="22" t="s">
        <v>107</v>
      </c>
    </row>
    <row r="18" spans="1:8" ht="28.5" customHeight="1" x14ac:dyDescent="0.35">
      <c r="A18" s="33" t="s">
        <v>102</v>
      </c>
      <c r="B18" s="34" t="s">
        <v>103</v>
      </c>
      <c r="C18" s="34" t="s">
        <v>100</v>
      </c>
      <c r="D18" s="34" t="s">
        <v>69</v>
      </c>
      <c r="E18" s="35">
        <v>106877</v>
      </c>
      <c r="F18" s="36">
        <v>0.78300000000000003</v>
      </c>
      <c r="G18" s="43">
        <v>99.7</v>
      </c>
      <c r="H18" s="34" t="s">
        <v>107</v>
      </c>
    </row>
    <row r="19" spans="1:8" ht="18" customHeight="1" x14ac:dyDescent="0.35">
      <c r="A19" s="37" t="s">
        <v>94</v>
      </c>
      <c r="B19" s="38" t="s">
        <v>95</v>
      </c>
      <c r="C19" s="38" t="s">
        <v>112</v>
      </c>
      <c r="D19" s="38" t="s">
        <v>65</v>
      </c>
      <c r="E19" s="39">
        <v>101166</v>
      </c>
      <c r="F19" s="40">
        <v>0.98599999999999999</v>
      </c>
      <c r="G19" s="41">
        <v>221.5</v>
      </c>
      <c r="H19" s="38" t="s">
        <v>97</v>
      </c>
    </row>
    <row r="20" spans="1:8" ht="32.5" customHeight="1" x14ac:dyDescent="0.35">
      <c r="A20" s="33" t="s">
        <v>113</v>
      </c>
      <c r="B20" s="34" t="s">
        <v>114</v>
      </c>
      <c r="C20" s="34" t="s">
        <v>96</v>
      </c>
      <c r="D20" s="34" t="s">
        <v>65</v>
      </c>
      <c r="E20" s="35">
        <v>92358</v>
      </c>
      <c r="F20" s="36">
        <v>0.90300000000000002</v>
      </c>
      <c r="G20" s="43">
        <v>80.400000000000006</v>
      </c>
      <c r="H20" s="34" t="s">
        <v>107</v>
      </c>
    </row>
    <row r="21" spans="1:8" ht="28" x14ac:dyDescent="0.35">
      <c r="A21" s="24" t="s">
        <v>105</v>
      </c>
      <c r="B21" s="22" t="s">
        <v>106</v>
      </c>
      <c r="C21" s="22" t="s">
        <v>96</v>
      </c>
      <c r="D21" s="22" t="s">
        <v>66</v>
      </c>
      <c r="E21" s="25">
        <v>90568</v>
      </c>
      <c r="F21" s="26">
        <v>0.93500000000000005</v>
      </c>
      <c r="G21" s="42">
        <v>61.6</v>
      </c>
      <c r="H21" s="22" t="s">
        <v>107</v>
      </c>
    </row>
    <row r="22" spans="1:8" ht="28" x14ac:dyDescent="0.35">
      <c r="A22" s="33" t="s">
        <v>113</v>
      </c>
      <c r="B22" s="34" t="s">
        <v>114</v>
      </c>
      <c r="C22" s="34" t="s">
        <v>100</v>
      </c>
      <c r="D22" s="34" t="s">
        <v>65</v>
      </c>
      <c r="E22" s="35">
        <v>86244</v>
      </c>
      <c r="F22" s="36">
        <v>0.93</v>
      </c>
      <c r="G22" s="43">
        <v>144.30000000000001</v>
      </c>
      <c r="H22" s="34" t="s">
        <v>107</v>
      </c>
    </row>
    <row r="23" spans="1:8" ht="28" x14ac:dyDescent="0.35">
      <c r="A23" s="24" t="s">
        <v>115</v>
      </c>
      <c r="B23" s="22" t="s">
        <v>116</v>
      </c>
      <c r="C23" s="22" t="s">
        <v>100</v>
      </c>
      <c r="D23" s="22" t="s">
        <v>66</v>
      </c>
      <c r="E23" s="25">
        <v>69763</v>
      </c>
      <c r="F23" s="26">
        <v>0.89800000000000002</v>
      </c>
      <c r="G23" s="42">
        <v>120.1</v>
      </c>
      <c r="H23" s="22" t="s">
        <v>107</v>
      </c>
    </row>
    <row r="24" spans="1:8" ht="28" x14ac:dyDescent="0.35">
      <c r="A24" s="33" t="s">
        <v>98</v>
      </c>
      <c r="B24" s="34" t="s">
        <v>99</v>
      </c>
      <c r="C24" s="34" t="s">
        <v>111</v>
      </c>
      <c r="D24" s="34" t="s">
        <v>66</v>
      </c>
      <c r="E24" s="35">
        <v>67952</v>
      </c>
      <c r="F24" s="36">
        <v>0.85599999999999998</v>
      </c>
      <c r="G24" s="43">
        <v>84.5</v>
      </c>
      <c r="H24" s="34" t="s">
        <v>107</v>
      </c>
    </row>
    <row r="25" spans="1:8" ht="28" x14ac:dyDescent="0.35">
      <c r="A25" s="24" t="s">
        <v>117</v>
      </c>
      <c r="B25" s="22" t="s">
        <v>118</v>
      </c>
      <c r="C25" s="22" t="s">
        <v>100</v>
      </c>
      <c r="D25" s="22" t="s">
        <v>66</v>
      </c>
      <c r="E25" s="25">
        <v>64428</v>
      </c>
      <c r="F25" s="26">
        <v>0.89</v>
      </c>
      <c r="G25" s="42">
        <v>91.9</v>
      </c>
      <c r="H25" s="22" t="s">
        <v>107</v>
      </c>
    </row>
    <row r="26" spans="1:8" ht="18" customHeight="1" x14ac:dyDescent="0.35">
      <c r="A26" s="33" t="s">
        <v>113</v>
      </c>
      <c r="B26" s="34" t="s">
        <v>114</v>
      </c>
      <c r="C26" s="34" t="s">
        <v>96</v>
      </c>
      <c r="D26" s="34" t="s">
        <v>66</v>
      </c>
      <c r="E26" s="35">
        <v>60131</v>
      </c>
      <c r="F26" s="36">
        <v>0.87</v>
      </c>
      <c r="G26" s="43">
        <v>199.7</v>
      </c>
      <c r="H26" s="34" t="s">
        <v>97</v>
      </c>
    </row>
    <row r="27" spans="1:8" ht="18" customHeight="1" x14ac:dyDescent="0.35">
      <c r="A27" s="24" t="s">
        <v>102</v>
      </c>
      <c r="B27" s="22" t="s">
        <v>103</v>
      </c>
      <c r="C27" s="22" t="s">
        <v>111</v>
      </c>
      <c r="D27" s="22" t="s">
        <v>65</v>
      </c>
      <c r="E27" s="25">
        <v>55858</v>
      </c>
      <c r="F27" s="26">
        <v>0.70899999999999996</v>
      </c>
      <c r="G27" s="42">
        <v>27.1</v>
      </c>
      <c r="H27" s="22" t="s">
        <v>104</v>
      </c>
    </row>
    <row r="28" spans="1:8" ht="18" customHeight="1" x14ac:dyDescent="0.35">
      <c r="A28" s="37" t="s">
        <v>113</v>
      </c>
      <c r="B28" s="38" t="s">
        <v>114</v>
      </c>
      <c r="C28" s="38" t="s">
        <v>100</v>
      </c>
      <c r="D28" s="38" t="s">
        <v>66</v>
      </c>
      <c r="E28" s="39">
        <v>55245</v>
      </c>
      <c r="F28" s="40">
        <v>0.878</v>
      </c>
      <c r="G28" s="41">
        <v>255.7</v>
      </c>
      <c r="H28" s="38" t="s">
        <v>97</v>
      </c>
    </row>
    <row r="29" spans="1:8" ht="18" customHeight="1" x14ac:dyDescent="0.35">
      <c r="A29" s="37" t="s">
        <v>94</v>
      </c>
      <c r="B29" s="38" t="s">
        <v>95</v>
      </c>
      <c r="C29" s="38" t="s">
        <v>96</v>
      </c>
      <c r="D29" s="38" t="s">
        <v>68</v>
      </c>
      <c r="E29" s="39">
        <v>55196</v>
      </c>
      <c r="F29" s="40">
        <v>0.92200000000000004</v>
      </c>
      <c r="G29" s="41">
        <v>256.2</v>
      </c>
      <c r="H29" s="38" t="s">
        <v>97</v>
      </c>
    </row>
  </sheetData>
  <autoFilter ref="A4:H29" xr:uid="{00000000-0009-0000-0000-000002000000}"/>
  <mergeCells count="2">
    <mergeCell ref="A1:H1"/>
    <mergeCell ref="A2:H2"/>
  </mergeCells>
  <conditionalFormatting sqref="G5:G29">
    <cfRule type="colorScale" priority="2">
      <colorScale>
        <cfvo type="num" val="0"/>
        <cfvo type="num" val="150"/>
        <cfvo type="num" val="400"/>
        <color rgb="FF63BE7B"/>
        <color rgb="FFFFEB84"/>
        <color rgb="FFF8696B"/>
      </colorScale>
    </cfRule>
  </conditionalFormatting>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29"/>
  <sheetViews>
    <sheetView showGridLines="0" zoomScaleNormal="100" workbookViewId="0">
      <pane ySplit="4" topLeftCell="A5" activePane="bottomLeft" state="frozen"/>
      <selection pane="bottomLeft" activeCell="A16" sqref="A16:XFD16"/>
    </sheetView>
  </sheetViews>
  <sheetFormatPr defaultColWidth="8.6328125" defaultRowHeight="14.5" x14ac:dyDescent="0.35"/>
  <cols>
    <col min="1" max="1" width="11" customWidth="1"/>
    <col min="2" max="2" width="18" customWidth="1"/>
    <col min="3" max="3" width="16" customWidth="1"/>
    <col min="4" max="4" width="28" customWidth="1"/>
    <col min="5" max="5" width="14" customWidth="1"/>
    <col min="6" max="7" width="12" customWidth="1"/>
    <col min="8" max="8" width="14" customWidth="1"/>
  </cols>
  <sheetData>
    <row r="1" spans="1:8" ht="21.75" customHeight="1" x14ac:dyDescent="0.5">
      <c r="A1" s="14" t="s">
        <v>119</v>
      </c>
      <c r="B1" s="14"/>
      <c r="C1" s="14"/>
      <c r="D1" s="14"/>
      <c r="E1" s="14"/>
      <c r="F1" s="14"/>
      <c r="G1" s="14"/>
      <c r="H1" s="14"/>
    </row>
    <row r="2" spans="1:8" ht="15" customHeight="1" x14ac:dyDescent="0.35">
      <c r="A2" s="13" t="s">
        <v>120</v>
      </c>
      <c r="B2" s="13"/>
      <c r="C2" s="13"/>
      <c r="D2" s="13"/>
      <c r="E2" s="13"/>
      <c r="F2" s="13"/>
      <c r="G2" s="13"/>
      <c r="H2" s="13"/>
    </row>
    <row r="4" spans="1:8" ht="39.75" customHeight="1" x14ac:dyDescent="0.35">
      <c r="A4" s="23" t="s">
        <v>87</v>
      </c>
      <c r="B4" s="23" t="s">
        <v>88</v>
      </c>
      <c r="C4" s="23" t="s">
        <v>89</v>
      </c>
      <c r="D4" s="23" t="s">
        <v>62</v>
      </c>
      <c r="E4" s="23" t="s">
        <v>63</v>
      </c>
      <c r="F4" s="23" t="s">
        <v>50</v>
      </c>
      <c r="G4" s="23" t="s">
        <v>121</v>
      </c>
      <c r="H4" s="23" t="s">
        <v>122</v>
      </c>
    </row>
    <row r="5" spans="1:8" ht="18" customHeight="1" x14ac:dyDescent="0.35">
      <c r="A5" s="24" t="s">
        <v>102</v>
      </c>
      <c r="B5" s="22" t="s">
        <v>103</v>
      </c>
      <c r="C5" s="22" t="s">
        <v>96</v>
      </c>
      <c r="D5" s="22" t="s">
        <v>65</v>
      </c>
      <c r="E5" s="25">
        <v>3691859</v>
      </c>
      <c r="F5" s="25">
        <v>1047385</v>
      </c>
      <c r="G5" s="26">
        <v>0.28399999999999997</v>
      </c>
      <c r="H5" s="26">
        <v>0.66700000000000004</v>
      </c>
    </row>
    <row r="6" spans="1:8" ht="18" customHeight="1" x14ac:dyDescent="0.35">
      <c r="A6" s="33" t="s">
        <v>102</v>
      </c>
      <c r="B6" s="34" t="s">
        <v>103</v>
      </c>
      <c r="C6" s="34" t="s">
        <v>100</v>
      </c>
      <c r="D6" s="34" t="s">
        <v>65</v>
      </c>
      <c r="E6" s="35">
        <v>2824783</v>
      </c>
      <c r="F6" s="35">
        <v>812363</v>
      </c>
      <c r="G6" s="36">
        <v>0.28799999999999998</v>
      </c>
      <c r="H6" s="36">
        <v>0.62</v>
      </c>
    </row>
    <row r="7" spans="1:8" ht="18" customHeight="1" x14ac:dyDescent="0.35">
      <c r="A7" s="24" t="s">
        <v>102</v>
      </c>
      <c r="B7" s="22" t="s">
        <v>103</v>
      </c>
      <c r="C7" s="22" t="s">
        <v>100</v>
      </c>
      <c r="D7" s="22" t="s">
        <v>68</v>
      </c>
      <c r="E7" s="25">
        <v>792095</v>
      </c>
      <c r="F7" s="25">
        <v>389652</v>
      </c>
      <c r="G7" s="26">
        <v>0.49199999999999999</v>
      </c>
      <c r="H7" s="26">
        <v>0.36399999999999999</v>
      </c>
    </row>
    <row r="8" spans="1:8" ht="18" customHeight="1" x14ac:dyDescent="0.35">
      <c r="A8" s="33" t="s">
        <v>102</v>
      </c>
      <c r="B8" s="34" t="s">
        <v>103</v>
      </c>
      <c r="C8" s="34" t="s">
        <v>111</v>
      </c>
      <c r="D8" s="34" t="s">
        <v>65</v>
      </c>
      <c r="E8" s="35">
        <v>1150355</v>
      </c>
      <c r="F8" s="35">
        <v>257984</v>
      </c>
      <c r="G8" s="36">
        <v>0.224</v>
      </c>
      <c r="H8" s="36">
        <v>0.72699999999999998</v>
      </c>
    </row>
    <row r="9" spans="1:8" ht="18" customHeight="1" x14ac:dyDescent="0.35">
      <c r="A9" s="24" t="s">
        <v>102</v>
      </c>
      <c r="B9" s="22" t="s">
        <v>103</v>
      </c>
      <c r="C9" s="22" t="s">
        <v>123</v>
      </c>
      <c r="D9" s="22" t="s">
        <v>65</v>
      </c>
      <c r="E9" s="25">
        <v>888444</v>
      </c>
      <c r="F9" s="25">
        <v>239154</v>
      </c>
      <c r="G9" s="26">
        <v>0.26900000000000002</v>
      </c>
      <c r="H9" s="26">
        <v>0.69599999999999995</v>
      </c>
    </row>
    <row r="10" spans="1:8" ht="18" customHeight="1" x14ac:dyDescent="0.35">
      <c r="A10" s="33" t="s">
        <v>102</v>
      </c>
      <c r="B10" s="34" t="s">
        <v>103</v>
      </c>
      <c r="C10" s="34" t="s">
        <v>100</v>
      </c>
      <c r="D10" s="34" t="s">
        <v>77</v>
      </c>
      <c r="E10" s="35">
        <v>388501</v>
      </c>
      <c r="F10" s="35">
        <v>171315</v>
      </c>
      <c r="G10" s="36">
        <v>0.441</v>
      </c>
      <c r="H10" s="36">
        <v>0.47899999999999998</v>
      </c>
    </row>
    <row r="11" spans="1:8" ht="18" customHeight="1" x14ac:dyDescent="0.35">
      <c r="A11" s="37" t="s">
        <v>102</v>
      </c>
      <c r="B11" s="38" t="s">
        <v>103</v>
      </c>
      <c r="C11" s="38" t="s">
        <v>124</v>
      </c>
      <c r="D11" s="38" t="s">
        <v>65</v>
      </c>
      <c r="E11" s="39">
        <v>321085</v>
      </c>
      <c r="F11" s="39">
        <v>162004</v>
      </c>
      <c r="G11" s="40">
        <v>0.505</v>
      </c>
      <c r="H11" s="40">
        <v>0.433</v>
      </c>
    </row>
    <row r="12" spans="1:8" ht="18" customHeight="1" x14ac:dyDescent="0.35">
      <c r="A12" s="33" t="s">
        <v>102</v>
      </c>
      <c r="B12" s="34" t="s">
        <v>103</v>
      </c>
      <c r="C12" s="34" t="s">
        <v>96</v>
      </c>
      <c r="D12" s="34" t="s">
        <v>68</v>
      </c>
      <c r="E12" s="35">
        <v>269682</v>
      </c>
      <c r="F12" s="35">
        <v>128008</v>
      </c>
      <c r="G12" s="36">
        <v>0.47499999999999998</v>
      </c>
      <c r="H12" s="36">
        <v>0.40300000000000002</v>
      </c>
    </row>
    <row r="13" spans="1:8" ht="44.5" customHeight="1" x14ac:dyDescent="0.35">
      <c r="A13" s="24" t="s">
        <v>102</v>
      </c>
      <c r="B13" s="22" t="s">
        <v>103</v>
      </c>
      <c r="C13" s="22" t="s">
        <v>125</v>
      </c>
      <c r="D13" s="22" t="s">
        <v>65</v>
      </c>
      <c r="E13" s="25">
        <v>742653</v>
      </c>
      <c r="F13" s="25">
        <v>113597</v>
      </c>
      <c r="G13" s="26">
        <v>0.153</v>
      </c>
      <c r="H13" s="26">
        <v>0.80600000000000005</v>
      </c>
    </row>
    <row r="14" spans="1:8" ht="18" customHeight="1" x14ac:dyDescent="0.35">
      <c r="A14" s="37" t="s">
        <v>102</v>
      </c>
      <c r="B14" s="38" t="s">
        <v>103</v>
      </c>
      <c r="C14" s="38" t="s">
        <v>111</v>
      </c>
      <c r="D14" s="38" t="s">
        <v>68</v>
      </c>
      <c r="E14" s="39">
        <v>192395</v>
      </c>
      <c r="F14" s="39">
        <v>98072</v>
      </c>
      <c r="G14" s="40">
        <v>0.51</v>
      </c>
      <c r="H14" s="40">
        <v>0.38700000000000001</v>
      </c>
    </row>
    <row r="15" spans="1:8" ht="18" customHeight="1" x14ac:dyDescent="0.35">
      <c r="A15" s="37" t="s">
        <v>102</v>
      </c>
      <c r="B15" s="38" t="s">
        <v>103</v>
      </c>
      <c r="C15" s="38" t="s">
        <v>100</v>
      </c>
      <c r="D15" s="38" t="s">
        <v>83</v>
      </c>
      <c r="E15" s="39">
        <v>164903</v>
      </c>
      <c r="F15" s="39">
        <v>90555</v>
      </c>
      <c r="G15" s="40">
        <v>0.54900000000000004</v>
      </c>
      <c r="H15" s="40">
        <v>0.33400000000000002</v>
      </c>
    </row>
    <row r="16" spans="1:8" ht="18" customHeight="1" x14ac:dyDescent="0.35">
      <c r="A16" s="37" t="s">
        <v>126</v>
      </c>
      <c r="B16" s="38" t="s">
        <v>127</v>
      </c>
      <c r="C16" s="38" t="s">
        <v>100</v>
      </c>
      <c r="D16" s="38" t="s">
        <v>73</v>
      </c>
      <c r="E16" s="39">
        <v>93284</v>
      </c>
      <c r="F16" s="39">
        <v>87521</v>
      </c>
      <c r="G16" s="40">
        <v>0.93799999999999994</v>
      </c>
      <c r="H16" s="40">
        <v>6.2E-2</v>
      </c>
    </row>
    <row r="17" spans="1:8" ht="18" customHeight="1" x14ac:dyDescent="0.35">
      <c r="A17" s="37" t="s">
        <v>102</v>
      </c>
      <c r="B17" s="38" t="s">
        <v>103</v>
      </c>
      <c r="C17" s="38" t="s">
        <v>96</v>
      </c>
      <c r="D17" s="38" t="s">
        <v>83</v>
      </c>
      <c r="E17" s="39">
        <v>146942</v>
      </c>
      <c r="F17" s="39">
        <v>85501</v>
      </c>
      <c r="G17" s="40">
        <v>0.58199999999999996</v>
      </c>
      <c r="H17" s="40">
        <v>0.30099999999999999</v>
      </c>
    </row>
    <row r="18" spans="1:8" ht="18" customHeight="1" x14ac:dyDescent="0.35">
      <c r="A18" s="37" t="s">
        <v>128</v>
      </c>
      <c r="B18" s="38" t="s">
        <v>129</v>
      </c>
      <c r="C18" s="38" t="s">
        <v>96</v>
      </c>
      <c r="D18" s="38" t="s">
        <v>75</v>
      </c>
      <c r="E18" s="39">
        <v>108685</v>
      </c>
      <c r="F18" s="39">
        <v>85042</v>
      </c>
      <c r="G18" s="40">
        <v>0.78200000000000003</v>
      </c>
      <c r="H18" s="40">
        <v>0.217</v>
      </c>
    </row>
    <row r="19" spans="1:8" ht="18" customHeight="1" x14ac:dyDescent="0.35">
      <c r="A19" s="24" t="s">
        <v>130</v>
      </c>
      <c r="B19" s="22" t="s">
        <v>131</v>
      </c>
      <c r="C19" s="22" t="s">
        <v>100</v>
      </c>
      <c r="D19" s="22" t="s">
        <v>65</v>
      </c>
      <c r="E19" s="25">
        <v>769443</v>
      </c>
      <c r="F19" s="25">
        <v>75763</v>
      </c>
      <c r="G19" s="26">
        <v>9.8000000000000004E-2</v>
      </c>
      <c r="H19" s="26">
        <v>0.84</v>
      </c>
    </row>
    <row r="20" spans="1:8" ht="18" customHeight="1" x14ac:dyDescent="0.35">
      <c r="A20" s="33" t="s">
        <v>98</v>
      </c>
      <c r="B20" s="34" t="s">
        <v>99</v>
      </c>
      <c r="C20" s="34" t="s">
        <v>96</v>
      </c>
      <c r="D20" s="34" t="s">
        <v>66</v>
      </c>
      <c r="E20" s="35">
        <v>2089141</v>
      </c>
      <c r="F20" s="35">
        <v>71117</v>
      </c>
      <c r="G20" s="36">
        <v>3.4000000000000002E-2</v>
      </c>
      <c r="H20" s="36">
        <v>0.84099999999999997</v>
      </c>
    </row>
    <row r="21" spans="1:8" ht="18" customHeight="1" x14ac:dyDescent="0.35">
      <c r="A21" s="24" t="s">
        <v>130</v>
      </c>
      <c r="B21" s="22" t="s">
        <v>131</v>
      </c>
      <c r="C21" s="22" t="s">
        <v>96</v>
      </c>
      <c r="D21" s="22" t="s">
        <v>65</v>
      </c>
      <c r="E21" s="25">
        <v>652732</v>
      </c>
      <c r="F21" s="25">
        <v>57355</v>
      </c>
      <c r="G21" s="26">
        <v>8.7999999999999995E-2</v>
      </c>
      <c r="H21" s="26">
        <v>0.85799999999999998</v>
      </c>
    </row>
    <row r="22" spans="1:8" ht="18" customHeight="1" x14ac:dyDescent="0.35">
      <c r="A22" s="33" t="s">
        <v>102</v>
      </c>
      <c r="B22" s="34" t="s">
        <v>103</v>
      </c>
      <c r="C22" s="34" t="s">
        <v>111</v>
      </c>
      <c r="D22" s="34" t="s">
        <v>84</v>
      </c>
      <c r="E22" s="35">
        <v>154876</v>
      </c>
      <c r="F22" s="35">
        <v>53676</v>
      </c>
      <c r="G22" s="36">
        <v>0.34699999999999998</v>
      </c>
      <c r="H22" s="36">
        <v>0.54400000000000004</v>
      </c>
    </row>
    <row r="23" spans="1:8" ht="18" customHeight="1" x14ac:dyDescent="0.35">
      <c r="A23" s="24" t="s">
        <v>98</v>
      </c>
      <c r="B23" s="22" t="s">
        <v>99</v>
      </c>
      <c r="C23" s="22" t="s">
        <v>100</v>
      </c>
      <c r="D23" s="22" t="s">
        <v>66</v>
      </c>
      <c r="E23" s="25">
        <v>2383002</v>
      </c>
      <c r="F23" s="25">
        <v>49429</v>
      </c>
      <c r="G23" s="26">
        <v>2.1000000000000001E-2</v>
      </c>
      <c r="H23" s="26">
        <v>0.72</v>
      </c>
    </row>
    <row r="24" spans="1:8" ht="18" customHeight="1" x14ac:dyDescent="0.35">
      <c r="A24" s="33" t="s">
        <v>132</v>
      </c>
      <c r="B24" s="34" t="s">
        <v>133</v>
      </c>
      <c r="C24" s="34" t="s">
        <v>100</v>
      </c>
      <c r="D24" s="34" t="s">
        <v>68</v>
      </c>
      <c r="E24" s="35">
        <v>218102</v>
      </c>
      <c r="F24" s="35">
        <v>49361</v>
      </c>
      <c r="G24" s="36">
        <v>0.22600000000000001</v>
      </c>
      <c r="H24" s="36">
        <v>0.14299999999999999</v>
      </c>
    </row>
    <row r="25" spans="1:8" ht="18" customHeight="1" x14ac:dyDescent="0.35">
      <c r="A25" s="37" t="s">
        <v>128</v>
      </c>
      <c r="B25" s="38" t="s">
        <v>129</v>
      </c>
      <c r="C25" s="38" t="s">
        <v>100</v>
      </c>
      <c r="D25" s="38" t="s">
        <v>75</v>
      </c>
      <c r="E25" s="39">
        <v>50425</v>
      </c>
      <c r="F25" s="39">
        <v>46272</v>
      </c>
      <c r="G25" s="40">
        <v>0.91800000000000004</v>
      </c>
      <c r="H25" s="40">
        <v>8.2000000000000003E-2</v>
      </c>
    </row>
    <row r="26" spans="1:8" ht="18" customHeight="1" x14ac:dyDescent="0.35">
      <c r="A26" s="33" t="s">
        <v>102</v>
      </c>
      <c r="B26" s="34" t="s">
        <v>103</v>
      </c>
      <c r="C26" s="34" t="s">
        <v>112</v>
      </c>
      <c r="D26" s="34" t="s">
        <v>65</v>
      </c>
      <c r="E26" s="35">
        <v>289974</v>
      </c>
      <c r="F26" s="35">
        <v>44493</v>
      </c>
      <c r="G26" s="36">
        <v>0.153</v>
      </c>
      <c r="H26" s="36">
        <v>0.81</v>
      </c>
    </row>
    <row r="27" spans="1:8" ht="18" customHeight="1" x14ac:dyDescent="0.35">
      <c r="A27" s="24" t="s">
        <v>113</v>
      </c>
      <c r="B27" s="22" t="s">
        <v>114</v>
      </c>
      <c r="C27" s="22" t="s">
        <v>96</v>
      </c>
      <c r="D27" s="22" t="s">
        <v>65</v>
      </c>
      <c r="E27" s="25">
        <v>1130166</v>
      </c>
      <c r="F27" s="25">
        <v>42898</v>
      </c>
      <c r="G27" s="26">
        <v>3.7999999999999999E-2</v>
      </c>
      <c r="H27" s="26">
        <v>0.88</v>
      </c>
    </row>
    <row r="28" spans="1:8" ht="18" customHeight="1" x14ac:dyDescent="0.35">
      <c r="A28" s="37" t="s">
        <v>102</v>
      </c>
      <c r="B28" s="38" t="s">
        <v>103</v>
      </c>
      <c r="C28" s="38" t="s">
        <v>134</v>
      </c>
      <c r="D28" s="38" t="s">
        <v>135</v>
      </c>
      <c r="E28" s="39">
        <v>46218</v>
      </c>
      <c r="F28" s="39">
        <v>38578</v>
      </c>
      <c r="G28" s="40">
        <v>0.83499999999999996</v>
      </c>
      <c r="H28" s="40">
        <v>4.2000000000000003E-2</v>
      </c>
    </row>
    <row r="29" spans="1:8" ht="30.5" customHeight="1" x14ac:dyDescent="0.35">
      <c r="A29" s="24" t="s">
        <v>102</v>
      </c>
      <c r="B29" s="22" t="s">
        <v>103</v>
      </c>
      <c r="C29" s="22" t="s">
        <v>96</v>
      </c>
      <c r="D29" s="22" t="s">
        <v>72</v>
      </c>
      <c r="E29" s="25">
        <v>268726</v>
      </c>
      <c r="F29" s="25">
        <v>32210</v>
      </c>
      <c r="G29" s="26">
        <v>0.12</v>
      </c>
      <c r="H29" s="26">
        <v>0.79300000000000004</v>
      </c>
    </row>
  </sheetData>
  <autoFilter ref="A4:H29" xr:uid="{00000000-0009-0000-0000-000003000000}"/>
  <mergeCells count="2">
    <mergeCell ref="A1:H1"/>
    <mergeCell ref="A2:H2"/>
  </mergeCells>
  <conditionalFormatting sqref="G5:G29">
    <cfRule type="colorScale" priority="2">
      <colorScale>
        <cfvo type="num" val="0"/>
        <cfvo type="num" val="25"/>
        <cfvo type="num" val="60"/>
        <color rgb="FF63BE7B"/>
        <color rgb="FFFFEB84"/>
        <color rgb="FFF8696B"/>
      </colorScale>
    </cfRule>
  </conditionalFormatting>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42"/>
  <sheetViews>
    <sheetView showGridLines="0" zoomScaleNormal="100" workbookViewId="0">
      <pane ySplit="10" topLeftCell="A27" activePane="bottomLeft" state="frozen"/>
      <selection pane="bottomLeft" activeCell="K17" sqref="K17"/>
    </sheetView>
  </sheetViews>
  <sheetFormatPr defaultColWidth="8.6328125" defaultRowHeight="14.5" x14ac:dyDescent="0.35"/>
  <cols>
    <col min="1" max="1" width="11" customWidth="1"/>
    <col min="2" max="2" width="15" customWidth="1"/>
    <col min="3" max="3" width="28" customWidth="1"/>
    <col min="4" max="4" width="16" customWidth="1"/>
    <col min="5" max="5" width="14" customWidth="1"/>
    <col min="6" max="7" width="12" customWidth="1"/>
    <col min="8" max="8" width="18" customWidth="1"/>
    <col min="9" max="9" width="38" customWidth="1"/>
  </cols>
  <sheetData>
    <row r="1" spans="1:9" ht="21.75" customHeight="1" x14ac:dyDescent="0.5">
      <c r="A1" s="14" t="s">
        <v>136</v>
      </c>
      <c r="B1" s="14"/>
      <c r="C1" s="14"/>
      <c r="D1" s="14"/>
      <c r="E1" s="14"/>
      <c r="F1" s="14"/>
      <c r="G1" s="14"/>
      <c r="H1" s="14"/>
      <c r="I1" s="14"/>
    </row>
    <row r="2" spans="1:9" ht="15" customHeight="1" x14ac:dyDescent="0.35">
      <c r="A2" s="13" t="s">
        <v>137</v>
      </c>
      <c r="B2" s="13"/>
      <c r="C2" s="13"/>
      <c r="D2" s="13"/>
      <c r="E2" s="13"/>
      <c r="F2" s="13"/>
      <c r="G2" s="13"/>
      <c r="H2" s="13"/>
      <c r="I2" s="13"/>
    </row>
    <row r="4" spans="1:9" ht="15.75" customHeight="1" x14ac:dyDescent="0.35">
      <c r="A4" s="12" t="s">
        <v>138</v>
      </c>
      <c r="B4" s="12"/>
      <c r="C4" s="12"/>
      <c r="D4" s="12"/>
      <c r="E4" s="12"/>
      <c r="F4" s="12"/>
      <c r="G4" s="12"/>
      <c r="H4" s="12"/>
      <c r="I4" s="12"/>
    </row>
    <row r="5" spans="1:9" ht="18" customHeight="1" x14ac:dyDescent="0.35">
      <c r="A5" s="4" t="s">
        <v>139</v>
      </c>
      <c r="B5" s="4"/>
      <c r="C5" s="4"/>
      <c r="D5" s="4"/>
      <c r="E5" s="4"/>
      <c r="F5" s="4"/>
      <c r="G5" s="4"/>
      <c r="H5" s="4"/>
      <c r="I5" s="4"/>
    </row>
    <row r="6" spans="1:9" ht="18" customHeight="1" x14ac:dyDescent="0.35">
      <c r="A6" s="4" t="s">
        <v>140</v>
      </c>
      <c r="B6" s="4"/>
      <c r="C6" s="4"/>
      <c r="D6" s="4"/>
      <c r="E6" s="4"/>
      <c r="F6" s="4"/>
      <c r="G6" s="4"/>
      <c r="H6" s="4"/>
      <c r="I6" s="4"/>
    </row>
    <row r="7" spans="1:9" ht="18" customHeight="1" x14ac:dyDescent="0.35">
      <c r="A7" s="4" t="s">
        <v>141</v>
      </c>
      <c r="B7" s="4"/>
      <c r="C7" s="4"/>
      <c r="D7" s="4"/>
      <c r="E7" s="4"/>
      <c r="F7" s="4"/>
      <c r="G7" s="4"/>
      <c r="H7" s="4"/>
      <c r="I7" s="4"/>
    </row>
    <row r="8" spans="1:9" ht="18" customHeight="1" x14ac:dyDescent="0.35">
      <c r="A8" s="4" t="s">
        <v>142</v>
      </c>
      <c r="B8" s="4"/>
      <c r="C8" s="4"/>
      <c r="D8" s="4"/>
      <c r="E8" s="4"/>
      <c r="F8" s="4"/>
      <c r="G8" s="4"/>
      <c r="H8" s="4"/>
      <c r="I8" s="4"/>
    </row>
    <row r="10" spans="1:9" ht="39.75" customHeight="1" x14ac:dyDescent="0.35">
      <c r="A10" s="23" t="s">
        <v>87</v>
      </c>
      <c r="B10" s="23" t="s">
        <v>88</v>
      </c>
      <c r="C10" s="23" t="s">
        <v>62</v>
      </c>
      <c r="D10" s="23" t="s">
        <v>143</v>
      </c>
      <c r="E10" s="23" t="s">
        <v>63</v>
      </c>
      <c r="F10" s="23" t="s">
        <v>50</v>
      </c>
      <c r="G10" s="23" t="s">
        <v>121</v>
      </c>
      <c r="H10" s="23" t="s">
        <v>144</v>
      </c>
      <c r="I10" s="23" t="s">
        <v>93</v>
      </c>
    </row>
    <row r="11" spans="1:9" ht="37" customHeight="1" x14ac:dyDescent="0.35">
      <c r="A11" s="44" t="s">
        <v>145</v>
      </c>
      <c r="B11" s="45" t="s">
        <v>146</v>
      </c>
      <c r="C11" s="46" t="s">
        <v>72</v>
      </c>
      <c r="D11" s="47">
        <v>2961</v>
      </c>
      <c r="E11" s="47">
        <v>3936</v>
      </c>
      <c r="F11" s="47">
        <v>622</v>
      </c>
      <c r="G11" s="48">
        <v>0.158</v>
      </c>
      <c r="H11" s="49">
        <v>87.1</v>
      </c>
      <c r="I11" s="46" t="s">
        <v>147</v>
      </c>
    </row>
    <row r="12" spans="1:9" ht="30" customHeight="1" x14ac:dyDescent="0.35">
      <c r="A12" s="44" t="s">
        <v>145</v>
      </c>
      <c r="B12" s="45" t="s">
        <v>146</v>
      </c>
      <c r="C12" s="46" t="s">
        <v>66</v>
      </c>
      <c r="D12" s="47">
        <v>40674</v>
      </c>
      <c r="E12" s="47">
        <v>207785</v>
      </c>
      <c r="F12" s="47">
        <v>2</v>
      </c>
      <c r="G12" s="48">
        <v>0</v>
      </c>
      <c r="H12" s="49">
        <v>187.7</v>
      </c>
      <c r="I12" s="46" t="s">
        <v>148</v>
      </c>
    </row>
    <row r="13" spans="1:9" ht="36" customHeight="1" x14ac:dyDescent="0.35">
      <c r="A13" s="44" t="s">
        <v>145</v>
      </c>
      <c r="B13" s="45" t="s">
        <v>146</v>
      </c>
      <c r="C13" s="46" t="s">
        <v>149</v>
      </c>
      <c r="D13" s="47">
        <v>121</v>
      </c>
      <c r="E13" s="47">
        <v>177</v>
      </c>
      <c r="F13" s="47">
        <v>0</v>
      </c>
      <c r="G13" s="48">
        <v>0</v>
      </c>
      <c r="H13" s="49">
        <v>120.4</v>
      </c>
      <c r="I13" s="46" t="s">
        <v>148</v>
      </c>
    </row>
    <row r="14" spans="1:9" ht="24" customHeight="1" x14ac:dyDescent="0.35">
      <c r="A14" s="44" t="s">
        <v>145</v>
      </c>
      <c r="B14" s="45" t="s">
        <v>146</v>
      </c>
      <c r="C14" s="46" t="s">
        <v>74</v>
      </c>
      <c r="D14" s="47">
        <v>203</v>
      </c>
      <c r="E14" s="47">
        <v>206</v>
      </c>
      <c r="F14" s="47">
        <v>0</v>
      </c>
      <c r="G14" s="48">
        <v>0</v>
      </c>
      <c r="H14" s="49">
        <v>80.5</v>
      </c>
      <c r="I14" s="46" t="s">
        <v>150</v>
      </c>
    </row>
    <row r="15" spans="1:9" ht="28.5" customHeight="1" x14ac:dyDescent="0.35">
      <c r="A15" s="44" t="s">
        <v>145</v>
      </c>
      <c r="B15" s="45" t="s">
        <v>146</v>
      </c>
      <c r="C15" s="46" t="s">
        <v>65</v>
      </c>
      <c r="D15" s="47">
        <v>6926</v>
      </c>
      <c r="E15" s="47">
        <v>20219</v>
      </c>
      <c r="F15" s="47">
        <v>0</v>
      </c>
      <c r="G15" s="48">
        <v>0</v>
      </c>
      <c r="H15" s="49">
        <v>217.6</v>
      </c>
      <c r="I15" s="46" t="s">
        <v>151</v>
      </c>
    </row>
    <row r="16" spans="1:9" ht="38.5" customHeight="1" x14ac:dyDescent="0.35">
      <c r="A16" s="44" t="s">
        <v>152</v>
      </c>
      <c r="B16" s="45" t="s">
        <v>153</v>
      </c>
      <c r="C16" s="46" t="s">
        <v>72</v>
      </c>
      <c r="D16" s="47">
        <v>1209</v>
      </c>
      <c r="E16" s="47">
        <v>1554</v>
      </c>
      <c r="F16" s="47">
        <v>272</v>
      </c>
      <c r="G16" s="48">
        <v>0.17499999999999999</v>
      </c>
      <c r="H16" s="49">
        <v>42.4</v>
      </c>
      <c r="I16" s="46" t="s">
        <v>147</v>
      </c>
    </row>
    <row r="17" spans="1:9" ht="31.5" customHeight="1" x14ac:dyDescent="0.35">
      <c r="A17" s="44" t="s">
        <v>152</v>
      </c>
      <c r="B17" s="45" t="s">
        <v>153</v>
      </c>
      <c r="C17" s="46" t="s">
        <v>65</v>
      </c>
      <c r="D17" s="47">
        <v>5690</v>
      </c>
      <c r="E17" s="47">
        <v>15585</v>
      </c>
      <c r="F17" s="47">
        <v>1</v>
      </c>
      <c r="G17" s="48">
        <v>0</v>
      </c>
      <c r="H17" s="49">
        <v>105.4</v>
      </c>
      <c r="I17" s="46" t="s">
        <v>148</v>
      </c>
    </row>
    <row r="18" spans="1:9" ht="19.5" customHeight="1" x14ac:dyDescent="0.35">
      <c r="A18" s="44" t="s">
        <v>152</v>
      </c>
      <c r="B18" s="45" t="s">
        <v>153</v>
      </c>
      <c r="C18" s="46" t="s">
        <v>66</v>
      </c>
      <c r="D18" s="47">
        <v>23273</v>
      </c>
      <c r="E18" s="47">
        <v>82177</v>
      </c>
      <c r="F18" s="47">
        <v>2</v>
      </c>
      <c r="G18" s="48">
        <v>0</v>
      </c>
      <c r="H18" s="49">
        <v>98.1</v>
      </c>
      <c r="I18" s="46" t="s">
        <v>231</v>
      </c>
    </row>
    <row r="19" spans="1:9" ht="27" customHeight="1" x14ac:dyDescent="0.35">
      <c r="A19" s="44" t="s">
        <v>152</v>
      </c>
      <c r="B19" s="45" t="s">
        <v>153</v>
      </c>
      <c r="C19" s="46" t="s">
        <v>149</v>
      </c>
      <c r="D19" s="47">
        <v>36</v>
      </c>
      <c r="E19" s="47">
        <v>52</v>
      </c>
      <c r="F19" s="47">
        <v>0</v>
      </c>
      <c r="G19" s="48">
        <v>0</v>
      </c>
      <c r="H19" s="44" t="s">
        <v>154</v>
      </c>
      <c r="I19" s="46" t="s">
        <v>155</v>
      </c>
    </row>
    <row r="20" spans="1:9" ht="36" customHeight="1" x14ac:dyDescent="0.35">
      <c r="A20" s="50" t="s">
        <v>156</v>
      </c>
      <c r="B20" s="51" t="s">
        <v>157</v>
      </c>
      <c r="C20" s="52" t="s">
        <v>72</v>
      </c>
      <c r="D20" s="53">
        <v>175</v>
      </c>
      <c r="E20" s="53">
        <v>253</v>
      </c>
      <c r="F20" s="53">
        <v>38</v>
      </c>
      <c r="G20" s="54">
        <v>0.15</v>
      </c>
      <c r="H20" s="55">
        <v>245.9</v>
      </c>
      <c r="I20" s="52" t="s">
        <v>151</v>
      </c>
    </row>
    <row r="21" spans="1:9" ht="19.5" customHeight="1" x14ac:dyDescent="0.35">
      <c r="A21" s="50" t="s">
        <v>156</v>
      </c>
      <c r="B21" s="51" t="s">
        <v>157</v>
      </c>
      <c r="C21" s="52" t="s">
        <v>65</v>
      </c>
      <c r="D21" s="53">
        <v>73</v>
      </c>
      <c r="E21" s="53">
        <v>130</v>
      </c>
      <c r="F21" s="53">
        <v>0</v>
      </c>
      <c r="G21" s="54">
        <v>0</v>
      </c>
      <c r="H21" s="55">
        <v>5.3</v>
      </c>
      <c r="I21" s="52" t="s">
        <v>155</v>
      </c>
    </row>
    <row r="22" spans="1:9" ht="33" customHeight="1" x14ac:dyDescent="0.35">
      <c r="A22" s="50" t="s">
        <v>156</v>
      </c>
      <c r="B22" s="51" t="s">
        <v>157</v>
      </c>
      <c r="C22" s="52" t="s">
        <v>66</v>
      </c>
      <c r="D22" s="53">
        <v>3475</v>
      </c>
      <c r="E22" s="53">
        <v>12383</v>
      </c>
      <c r="F22" s="53">
        <v>0</v>
      </c>
      <c r="G22" s="54">
        <v>0</v>
      </c>
      <c r="H22" s="55">
        <v>258.3</v>
      </c>
      <c r="I22" s="52" t="s">
        <v>151</v>
      </c>
    </row>
    <row r="23" spans="1:9" ht="36" customHeight="1" x14ac:dyDescent="0.35">
      <c r="A23" s="56" t="s">
        <v>158</v>
      </c>
      <c r="B23" s="57" t="s">
        <v>159</v>
      </c>
      <c r="C23" s="58" t="s">
        <v>72</v>
      </c>
      <c r="D23" s="59">
        <v>3492</v>
      </c>
      <c r="E23" s="59">
        <v>4790</v>
      </c>
      <c r="F23" s="59">
        <v>1144</v>
      </c>
      <c r="G23" s="60">
        <v>0.23899999999999999</v>
      </c>
      <c r="H23" s="61">
        <v>83.5</v>
      </c>
      <c r="I23" s="58" t="s">
        <v>147</v>
      </c>
    </row>
    <row r="24" spans="1:9" ht="19.5" customHeight="1" x14ac:dyDescent="0.35">
      <c r="A24" s="56" t="s">
        <v>158</v>
      </c>
      <c r="B24" s="57" t="s">
        <v>159</v>
      </c>
      <c r="C24" s="58" t="s">
        <v>75</v>
      </c>
      <c r="D24" s="59">
        <v>9775</v>
      </c>
      <c r="E24" s="59">
        <v>14322</v>
      </c>
      <c r="F24" s="59">
        <v>1305</v>
      </c>
      <c r="G24" s="60">
        <v>9.0999999999999998E-2</v>
      </c>
      <c r="H24" s="61">
        <v>78</v>
      </c>
      <c r="I24" s="58" t="s">
        <v>150</v>
      </c>
    </row>
    <row r="25" spans="1:9" ht="19.5" customHeight="1" x14ac:dyDescent="0.35">
      <c r="A25" s="56" t="s">
        <v>158</v>
      </c>
      <c r="B25" s="57" t="s">
        <v>159</v>
      </c>
      <c r="C25" s="58" t="s">
        <v>160</v>
      </c>
      <c r="D25" s="59">
        <v>30780</v>
      </c>
      <c r="E25" s="59">
        <v>40605</v>
      </c>
      <c r="F25" s="59">
        <v>3595</v>
      </c>
      <c r="G25" s="60">
        <v>8.8999999999999996E-2</v>
      </c>
      <c r="H25" s="61">
        <v>7.1</v>
      </c>
      <c r="I25" s="58" t="s">
        <v>155</v>
      </c>
    </row>
    <row r="26" spans="1:9" ht="37.5" customHeight="1" x14ac:dyDescent="0.35">
      <c r="A26" s="62" t="s">
        <v>158</v>
      </c>
      <c r="B26" s="63" t="s">
        <v>159</v>
      </c>
      <c r="C26" s="64" t="s">
        <v>79</v>
      </c>
      <c r="D26" s="65">
        <v>10281</v>
      </c>
      <c r="E26" s="65">
        <v>14622</v>
      </c>
      <c r="F26" s="65">
        <v>1169</v>
      </c>
      <c r="G26" s="66">
        <v>0.08</v>
      </c>
      <c r="H26" s="67">
        <v>510.3</v>
      </c>
      <c r="I26" s="64" t="s">
        <v>161</v>
      </c>
    </row>
    <row r="27" spans="1:9" ht="40" customHeight="1" x14ac:dyDescent="0.35">
      <c r="A27" s="56" t="s">
        <v>158</v>
      </c>
      <c r="B27" s="57" t="s">
        <v>159</v>
      </c>
      <c r="C27" s="58" t="s">
        <v>68</v>
      </c>
      <c r="D27" s="59">
        <v>19180</v>
      </c>
      <c r="E27" s="59">
        <v>61618</v>
      </c>
      <c r="F27" s="59">
        <v>3519</v>
      </c>
      <c r="G27" s="60">
        <v>5.7000000000000002E-2</v>
      </c>
      <c r="H27" s="61">
        <v>276.10000000000002</v>
      </c>
      <c r="I27" s="58" t="s">
        <v>151</v>
      </c>
    </row>
    <row r="28" spans="1:9" ht="32.5" customHeight="1" x14ac:dyDescent="0.35">
      <c r="A28" s="56" t="s">
        <v>158</v>
      </c>
      <c r="B28" s="57" t="s">
        <v>159</v>
      </c>
      <c r="C28" s="58" t="s">
        <v>65</v>
      </c>
      <c r="D28" s="59">
        <v>64362</v>
      </c>
      <c r="E28" s="59">
        <v>255178</v>
      </c>
      <c r="F28" s="59">
        <v>13176</v>
      </c>
      <c r="G28" s="60">
        <v>5.1999999999999998E-2</v>
      </c>
      <c r="H28" s="61">
        <v>131.1</v>
      </c>
      <c r="I28" s="58" t="s">
        <v>148</v>
      </c>
    </row>
    <row r="29" spans="1:9" ht="19.5" customHeight="1" x14ac:dyDescent="0.35">
      <c r="A29" s="56" t="s">
        <v>158</v>
      </c>
      <c r="B29" s="57" t="s">
        <v>159</v>
      </c>
      <c r="C29" s="58" t="s">
        <v>82</v>
      </c>
      <c r="D29" s="59">
        <v>1511</v>
      </c>
      <c r="E29" s="59">
        <v>1679</v>
      </c>
      <c r="F29" s="59">
        <v>35</v>
      </c>
      <c r="G29" s="60">
        <v>2.1000000000000001E-2</v>
      </c>
      <c r="H29" s="61">
        <v>3.8</v>
      </c>
      <c r="I29" s="58" t="s">
        <v>155</v>
      </c>
    </row>
    <row r="30" spans="1:9" ht="19.5" customHeight="1" x14ac:dyDescent="0.35">
      <c r="A30" s="56" t="s">
        <v>158</v>
      </c>
      <c r="B30" s="57" t="s">
        <v>159</v>
      </c>
      <c r="C30" s="58" t="s">
        <v>67</v>
      </c>
      <c r="D30" s="59">
        <v>30191</v>
      </c>
      <c r="E30" s="59">
        <v>32862</v>
      </c>
      <c r="F30" s="59">
        <v>109</v>
      </c>
      <c r="G30" s="60">
        <v>3.0000000000000001E-3</v>
      </c>
      <c r="H30" s="61">
        <v>28.9</v>
      </c>
      <c r="I30" s="58" t="s">
        <v>155</v>
      </c>
    </row>
    <row r="31" spans="1:9" ht="19.5" customHeight="1" x14ac:dyDescent="0.35">
      <c r="A31" s="56" t="s">
        <v>158</v>
      </c>
      <c r="B31" s="57" t="s">
        <v>159</v>
      </c>
      <c r="C31" s="58" t="s">
        <v>162</v>
      </c>
      <c r="D31" s="59">
        <v>1172</v>
      </c>
      <c r="E31" s="59">
        <v>1287</v>
      </c>
      <c r="F31" s="59">
        <v>3</v>
      </c>
      <c r="G31" s="60">
        <v>2E-3</v>
      </c>
      <c r="H31" s="61">
        <v>18.399999999999999</v>
      </c>
      <c r="I31" s="58" t="s">
        <v>155</v>
      </c>
    </row>
    <row r="32" spans="1:9" ht="19.5" customHeight="1" x14ac:dyDescent="0.35">
      <c r="A32" s="56" t="s">
        <v>158</v>
      </c>
      <c r="B32" s="57" t="s">
        <v>159</v>
      </c>
      <c r="C32" s="58" t="s">
        <v>71</v>
      </c>
      <c r="D32" s="59">
        <v>3343</v>
      </c>
      <c r="E32" s="59">
        <v>4740</v>
      </c>
      <c r="F32" s="59">
        <v>0</v>
      </c>
      <c r="G32" s="60">
        <v>0</v>
      </c>
      <c r="H32" s="61">
        <v>23.9</v>
      </c>
      <c r="I32" s="58" t="s">
        <v>155</v>
      </c>
    </row>
    <row r="33" spans="1:9" ht="19.5" customHeight="1" x14ac:dyDescent="0.35">
      <c r="A33" s="56" t="s">
        <v>158</v>
      </c>
      <c r="B33" s="57" t="s">
        <v>159</v>
      </c>
      <c r="C33" s="58" t="s">
        <v>73</v>
      </c>
      <c r="D33" s="59">
        <v>8795</v>
      </c>
      <c r="E33" s="59">
        <v>9270</v>
      </c>
      <c r="F33" s="59">
        <v>0</v>
      </c>
      <c r="G33" s="60">
        <v>0</v>
      </c>
      <c r="H33" s="61">
        <v>1</v>
      </c>
      <c r="I33" s="58" t="s">
        <v>155</v>
      </c>
    </row>
    <row r="34" spans="1:9" ht="19.5" customHeight="1" x14ac:dyDescent="0.35">
      <c r="A34" s="56" t="s">
        <v>158</v>
      </c>
      <c r="B34" s="57" t="s">
        <v>159</v>
      </c>
      <c r="C34" s="58" t="s">
        <v>69</v>
      </c>
      <c r="D34" s="59">
        <v>32952</v>
      </c>
      <c r="E34" s="59">
        <v>36999</v>
      </c>
      <c r="F34" s="59">
        <v>1</v>
      </c>
      <c r="G34" s="60">
        <v>0</v>
      </c>
      <c r="H34" s="61">
        <v>31.3</v>
      </c>
      <c r="I34" s="58" t="s">
        <v>155</v>
      </c>
    </row>
    <row r="35" spans="1:9" ht="19.5" customHeight="1" x14ac:dyDescent="0.35">
      <c r="A35" s="56" t="s">
        <v>158</v>
      </c>
      <c r="B35" s="57" t="s">
        <v>159</v>
      </c>
      <c r="C35" s="58" t="s">
        <v>149</v>
      </c>
      <c r="D35" s="59">
        <v>55</v>
      </c>
      <c r="E35" s="59">
        <v>67</v>
      </c>
      <c r="F35" s="59">
        <v>0</v>
      </c>
      <c r="G35" s="60">
        <v>0</v>
      </c>
      <c r="H35" s="56" t="s">
        <v>154</v>
      </c>
      <c r="I35" s="58" t="s">
        <v>155</v>
      </c>
    </row>
    <row r="37" spans="1:9" ht="15.75" customHeight="1" x14ac:dyDescent="0.35">
      <c r="A37" s="12" t="s">
        <v>163</v>
      </c>
      <c r="B37" s="12"/>
      <c r="C37" s="12"/>
      <c r="D37" s="12"/>
    </row>
    <row r="38" spans="1:9" ht="15" customHeight="1" x14ac:dyDescent="0.35">
      <c r="A38" s="3" t="s">
        <v>164</v>
      </c>
      <c r="B38" s="3"/>
      <c r="C38" s="3"/>
      <c r="D38" s="3"/>
    </row>
    <row r="39" spans="1:9" ht="15" customHeight="1" x14ac:dyDescent="0.35">
      <c r="A39" s="3" t="s">
        <v>165</v>
      </c>
      <c r="B39" s="3"/>
      <c r="C39" s="3"/>
      <c r="D39" s="3"/>
    </row>
    <row r="40" spans="1:9" ht="15" customHeight="1" x14ac:dyDescent="0.35">
      <c r="A40" s="2" t="s">
        <v>166</v>
      </c>
      <c r="B40" s="2"/>
      <c r="C40" s="2"/>
      <c r="D40" s="2"/>
    </row>
    <row r="41" spans="1:9" ht="15" customHeight="1" x14ac:dyDescent="0.35">
      <c r="A41" s="1" t="s">
        <v>167</v>
      </c>
      <c r="B41" s="1"/>
      <c r="C41" s="1"/>
      <c r="D41" s="1"/>
    </row>
    <row r="42" spans="1:9" ht="15" customHeight="1" x14ac:dyDescent="0.35">
      <c r="A42" s="77" t="s">
        <v>168</v>
      </c>
      <c r="B42" s="77"/>
      <c r="C42" s="77"/>
      <c r="D42" s="77"/>
    </row>
  </sheetData>
  <mergeCells count="13">
    <mergeCell ref="A40:D40"/>
    <mergeCell ref="A41:D41"/>
    <mergeCell ref="A42:D42"/>
    <mergeCell ref="A7:I7"/>
    <mergeCell ref="A8:I8"/>
    <mergeCell ref="A37:D37"/>
    <mergeCell ref="A38:D38"/>
    <mergeCell ref="A39:D39"/>
    <mergeCell ref="A1:I1"/>
    <mergeCell ref="A2:I2"/>
    <mergeCell ref="A4:I4"/>
    <mergeCell ref="A5:I5"/>
    <mergeCell ref="A6:I6"/>
  </mergeCell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18"/>
  <sheetViews>
    <sheetView showGridLines="0" tabSelected="1" zoomScaleNormal="100" workbookViewId="0">
      <selection sqref="A1:F1"/>
    </sheetView>
  </sheetViews>
  <sheetFormatPr defaultColWidth="8.6328125" defaultRowHeight="14.5" x14ac:dyDescent="0.35"/>
  <cols>
    <col min="1" max="1" width="34" customWidth="1"/>
    <col min="2" max="2" width="14" customWidth="1"/>
    <col min="3" max="4" width="12" customWidth="1"/>
    <col min="5" max="5" width="55" customWidth="1"/>
  </cols>
  <sheetData>
    <row r="1" spans="1:6" ht="21.75" customHeight="1" x14ac:dyDescent="0.5">
      <c r="A1" s="14" t="s">
        <v>169</v>
      </c>
      <c r="B1" s="14"/>
      <c r="C1" s="14"/>
      <c r="D1" s="14"/>
      <c r="E1" s="14"/>
      <c r="F1" s="14"/>
    </row>
    <row r="2" spans="1:6" ht="15" customHeight="1" x14ac:dyDescent="0.35">
      <c r="A2" s="13" t="s">
        <v>170</v>
      </c>
      <c r="B2" s="13"/>
      <c r="C2" s="13"/>
      <c r="D2" s="13"/>
      <c r="E2" s="13"/>
      <c r="F2" s="13"/>
    </row>
    <row r="4" spans="1:6" ht="15.75" customHeight="1" x14ac:dyDescent="0.35">
      <c r="A4" s="12" t="s">
        <v>171</v>
      </c>
      <c r="B4" s="12"/>
      <c r="C4" s="12"/>
      <c r="D4" s="12"/>
      <c r="E4" s="12"/>
      <c r="F4" s="12"/>
    </row>
    <row r="5" spans="1:6" ht="39.75" customHeight="1" x14ac:dyDescent="0.35">
      <c r="A5" s="23" t="s">
        <v>62</v>
      </c>
      <c r="B5" s="23" t="s">
        <v>63</v>
      </c>
      <c r="C5" s="23" t="s">
        <v>50</v>
      </c>
      <c r="D5" s="23" t="s">
        <v>121</v>
      </c>
      <c r="E5" s="23" t="s">
        <v>93</v>
      </c>
    </row>
    <row r="6" spans="1:6" ht="21.75" customHeight="1" x14ac:dyDescent="0.35">
      <c r="A6" s="68" t="s">
        <v>69</v>
      </c>
      <c r="B6" s="69">
        <v>4043374</v>
      </c>
      <c r="C6" s="69">
        <v>38116</v>
      </c>
      <c r="D6" s="70">
        <v>9.4267807034422203E-3</v>
      </c>
      <c r="E6" s="68" t="s">
        <v>172</v>
      </c>
    </row>
    <row r="7" spans="1:6" ht="28" x14ac:dyDescent="0.35">
      <c r="A7" s="71" t="s">
        <v>71</v>
      </c>
      <c r="B7" s="72">
        <v>2983021</v>
      </c>
      <c r="C7" s="72">
        <v>65139</v>
      </c>
      <c r="D7" s="73">
        <v>2.18365878081314E-2</v>
      </c>
      <c r="E7" s="71" t="s">
        <v>173</v>
      </c>
    </row>
    <row r="8" spans="1:6" ht="28" x14ac:dyDescent="0.35">
      <c r="A8" s="71" t="s">
        <v>72</v>
      </c>
      <c r="B8" s="72">
        <v>2048039</v>
      </c>
      <c r="C8" s="72">
        <v>180481</v>
      </c>
      <c r="D8" s="73">
        <v>8.8123810142287401E-2</v>
      </c>
      <c r="E8" s="71" t="s">
        <v>174</v>
      </c>
    </row>
    <row r="9" spans="1:6" ht="28" x14ac:dyDescent="0.35">
      <c r="A9" s="68" t="s">
        <v>74</v>
      </c>
      <c r="B9" s="69">
        <v>1660389</v>
      </c>
      <c r="C9" s="69">
        <v>5207</v>
      </c>
      <c r="D9" s="70">
        <v>3.1360121031878698E-3</v>
      </c>
      <c r="E9" s="68" t="s">
        <v>175</v>
      </c>
    </row>
    <row r="10" spans="1:6" ht="28" x14ac:dyDescent="0.35">
      <c r="A10" s="38" t="s">
        <v>160</v>
      </c>
      <c r="B10" s="39">
        <v>223631</v>
      </c>
      <c r="C10" s="39">
        <v>26408</v>
      </c>
      <c r="D10" s="40">
        <v>0.118087385022649</v>
      </c>
      <c r="E10" s="38" t="s">
        <v>176</v>
      </c>
    </row>
    <row r="11" spans="1:6" ht="21.75" customHeight="1" x14ac:dyDescent="0.35">
      <c r="A11" s="38" t="s">
        <v>177</v>
      </c>
      <c r="B11" s="39">
        <v>13038</v>
      </c>
      <c r="C11" s="39">
        <v>10102</v>
      </c>
      <c r="D11" s="40">
        <v>0.77481208774351895</v>
      </c>
      <c r="E11" s="38" t="s">
        <v>178</v>
      </c>
    </row>
    <row r="12" spans="1:6" ht="21.75" customHeight="1" x14ac:dyDescent="0.35">
      <c r="A12" s="68" t="s">
        <v>179</v>
      </c>
      <c r="B12" s="69">
        <v>3340</v>
      </c>
      <c r="C12" s="69">
        <v>0</v>
      </c>
      <c r="D12" s="70">
        <v>0</v>
      </c>
      <c r="E12" s="68" t="s">
        <v>180</v>
      </c>
    </row>
    <row r="14" spans="1:6" ht="15.75" customHeight="1" x14ac:dyDescent="0.35">
      <c r="A14" s="12" t="s">
        <v>181</v>
      </c>
      <c r="B14" s="12"/>
      <c r="C14" s="12"/>
      <c r="D14" s="12"/>
      <c r="E14" s="12"/>
    </row>
    <row r="15" spans="1:6" ht="19.5" customHeight="1" x14ac:dyDescent="0.35">
      <c r="A15" s="4" t="s">
        <v>182</v>
      </c>
      <c r="B15" s="4"/>
      <c r="C15" s="4"/>
      <c r="D15" s="4"/>
      <c r="E15" s="4"/>
    </row>
    <row r="16" spans="1:6" ht="19.5" customHeight="1" x14ac:dyDescent="0.35">
      <c r="A16" s="4" t="s">
        <v>183</v>
      </c>
      <c r="B16" s="4"/>
      <c r="C16" s="4"/>
      <c r="D16" s="4"/>
      <c r="E16" s="4"/>
    </row>
    <row r="17" spans="1:5" ht="19.5" customHeight="1" x14ac:dyDescent="0.35">
      <c r="A17" s="4" t="s">
        <v>184</v>
      </c>
      <c r="B17" s="4"/>
      <c r="C17" s="4"/>
      <c r="D17" s="4"/>
      <c r="E17" s="4"/>
    </row>
    <row r="18" spans="1:5" ht="19.5" customHeight="1" x14ac:dyDescent="0.35">
      <c r="A18" s="4" t="s">
        <v>185</v>
      </c>
      <c r="B18" s="4"/>
      <c r="C18" s="4"/>
      <c r="D18" s="4"/>
      <c r="E18" s="4"/>
    </row>
  </sheetData>
  <mergeCells count="8">
    <mergeCell ref="A16:E16"/>
    <mergeCell ref="A17:E17"/>
    <mergeCell ref="A18:E18"/>
    <mergeCell ref="A1:F1"/>
    <mergeCell ref="A2:F2"/>
    <mergeCell ref="A4:F4"/>
    <mergeCell ref="A14:E14"/>
    <mergeCell ref="A15:E15"/>
  </mergeCells>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32"/>
  <sheetViews>
    <sheetView showGridLines="0" zoomScaleNormal="100" workbookViewId="0"/>
  </sheetViews>
  <sheetFormatPr defaultColWidth="8.6328125" defaultRowHeight="14.5" x14ac:dyDescent="0.35"/>
  <cols>
    <col min="1" max="1" width="30" customWidth="1"/>
    <col min="2" max="2" width="95" customWidth="1"/>
  </cols>
  <sheetData>
    <row r="1" spans="1:2" ht="21.75" customHeight="1" x14ac:dyDescent="0.5">
      <c r="A1" s="14" t="s">
        <v>32</v>
      </c>
      <c r="B1" s="14"/>
    </row>
    <row r="2" spans="1:2" ht="15" customHeight="1" x14ac:dyDescent="0.35">
      <c r="A2" s="13" t="s">
        <v>186</v>
      </c>
      <c r="B2" s="13"/>
    </row>
    <row r="4" spans="1:2" ht="15.75" customHeight="1" x14ac:dyDescent="0.35">
      <c r="A4" s="12" t="s">
        <v>187</v>
      </c>
      <c r="B4" s="12"/>
    </row>
    <row r="5" spans="1:2" ht="36" customHeight="1" x14ac:dyDescent="0.35">
      <c r="A5" s="74" t="s">
        <v>188</v>
      </c>
      <c r="B5" s="75" t="s">
        <v>189</v>
      </c>
    </row>
    <row r="6" spans="1:2" ht="36" customHeight="1" x14ac:dyDescent="0.35">
      <c r="A6" s="74" t="s">
        <v>190</v>
      </c>
      <c r="B6" s="75" t="s">
        <v>191</v>
      </c>
    </row>
    <row r="7" spans="1:2" ht="36" customHeight="1" x14ac:dyDescent="0.35">
      <c r="A7" s="74" t="s">
        <v>192</v>
      </c>
      <c r="B7" s="75" t="s">
        <v>193</v>
      </c>
    </row>
    <row r="8" spans="1:2" ht="36" customHeight="1" x14ac:dyDescent="0.35">
      <c r="A8" s="74" t="s">
        <v>194</v>
      </c>
      <c r="B8" s="75" t="s">
        <v>195</v>
      </c>
    </row>
    <row r="10" spans="1:2" ht="15.75" customHeight="1" x14ac:dyDescent="0.35">
      <c r="A10" s="12" t="s">
        <v>196</v>
      </c>
      <c r="B10" s="12"/>
    </row>
    <row r="11" spans="1:2" ht="36" customHeight="1" x14ac:dyDescent="0.35">
      <c r="A11" s="74" t="s">
        <v>197</v>
      </c>
      <c r="B11" s="76" t="s">
        <v>198</v>
      </c>
    </row>
    <row r="12" spans="1:2" ht="36" customHeight="1" x14ac:dyDescent="0.35">
      <c r="A12" s="74" t="s">
        <v>199</v>
      </c>
      <c r="B12" s="76" t="s">
        <v>200</v>
      </c>
    </row>
    <row r="13" spans="1:2" ht="36" customHeight="1" x14ac:dyDescent="0.35">
      <c r="A13" s="74" t="s">
        <v>201</v>
      </c>
      <c r="B13" s="76" t="s">
        <v>202</v>
      </c>
    </row>
    <row r="14" spans="1:2" ht="36" customHeight="1" x14ac:dyDescent="0.35">
      <c r="A14" s="74" t="s">
        <v>203</v>
      </c>
      <c r="B14" s="75" t="s">
        <v>204</v>
      </c>
    </row>
    <row r="15" spans="1:2" ht="36" customHeight="1" x14ac:dyDescent="0.35">
      <c r="A15" s="74" t="s">
        <v>205</v>
      </c>
      <c r="B15" s="75" t="s">
        <v>206</v>
      </c>
    </row>
    <row r="17" spans="1:2" ht="15.75" customHeight="1" x14ac:dyDescent="0.35">
      <c r="A17" s="12" t="s">
        <v>207</v>
      </c>
      <c r="B17" s="12"/>
    </row>
    <row r="18" spans="1:2" ht="36" customHeight="1" x14ac:dyDescent="0.35">
      <c r="A18" s="74" t="s">
        <v>208</v>
      </c>
      <c r="B18" s="75" t="s">
        <v>209</v>
      </c>
    </row>
    <row r="19" spans="1:2" ht="36" customHeight="1" x14ac:dyDescent="0.35">
      <c r="A19" s="74" t="s">
        <v>210</v>
      </c>
      <c r="B19" s="75" t="s">
        <v>211</v>
      </c>
    </row>
    <row r="20" spans="1:2" ht="36" customHeight="1" x14ac:dyDescent="0.35">
      <c r="A20" s="74" t="s">
        <v>212</v>
      </c>
      <c r="B20" s="75" t="s">
        <v>213</v>
      </c>
    </row>
    <row r="22" spans="1:2" ht="15.75" customHeight="1" x14ac:dyDescent="0.35">
      <c r="A22" s="12" t="s">
        <v>214</v>
      </c>
      <c r="B22" s="12"/>
    </row>
    <row r="23" spans="1:2" ht="36" customHeight="1" x14ac:dyDescent="0.35">
      <c r="A23" s="74" t="s">
        <v>215</v>
      </c>
      <c r="B23" s="75" t="s">
        <v>216</v>
      </c>
    </row>
    <row r="24" spans="1:2" ht="36" customHeight="1" x14ac:dyDescent="0.35">
      <c r="A24" s="74" t="s">
        <v>217</v>
      </c>
      <c r="B24" s="75" t="s">
        <v>218</v>
      </c>
    </row>
    <row r="25" spans="1:2" ht="36" customHeight="1" x14ac:dyDescent="0.35">
      <c r="A25" s="74" t="s">
        <v>219</v>
      </c>
      <c r="B25" s="75" t="s">
        <v>220</v>
      </c>
    </row>
    <row r="27" spans="1:2" ht="15.75" customHeight="1" x14ac:dyDescent="0.35">
      <c r="A27" s="12" t="s">
        <v>221</v>
      </c>
      <c r="B27" s="12"/>
    </row>
    <row r="28" spans="1:2" ht="36" customHeight="1" x14ac:dyDescent="0.35">
      <c r="A28" s="74" t="s">
        <v>210</v>
      </c>
      <c r="B28" s="75" t="s">
        <v>222</v>
      </c>
    </row>
    <row r="29" spans="1:2" ht="36" customHeight="1" x14ac:dyDescent="0.35">
      <c r="A29" s="74" t="s">
        <v>223</v>
      </c>
      <c r="B29" s="75" t="s">
        <v>224</v>
      </c>
    </row>
    <row r="30" spans="1:2" ht="36" customHeight="1" x14ac:dyDescent="0.35">
      <c r="A30" s="74" t="s">
        <v>225</v>
      </c>
      <c r="B30" s="75" t="s">
        <v>226</v>
      </c>
    </row>
    <row r="31" spans="1:2" ht="36" customHeight="1" x14ac:dyDescent="0.35">
      <c r="A31" s="74" t="s">
        <v>227</v>
      </c>
      <c r="B31" s="75" t="s">
        <v>228</v>
      </c>
    </row>
    <row r="32" spans="1:2" ht="36" customHeight="1" x14ac:dyDescent="0.35">
      <c r="A32" s="74" t="s">
        <v>229</v>
      </c>
      <c r="B32" s="75" t="s">
        <v>230</v>
      </c>
    </row>
  </sheetData>
  <mergeCells count="7">
    <mergeCell ref="A22:B22"/>
    <mergeCell ref="A27:B27"/>
    <mergeCell ref="A1:B1"/>
    <mergeCell ref="A2:B2"/>
    <mergeCell ref="A4:B4"/>
    <mergeCell ref="A10:B10"/>
    <mergeCell ref="A17:B17"/>
  </mergeCells>
  <pageMargins left="0.75" right="0.75" top="1" bottom="1" header="0.511811023622047" footer="0.511811023622047"/>
  <pageSetup paperSize="9" orientation="portrait" horizontalDpi="300" verticalDpi="300"/>
</worksheet>
</file>

<file path=docMetadata/LabelInfo.xml><?xml version="1.0" encoding="utf-8"?>
<clbl:labelList xmlns:clbl="http://schemas.microsoft.com/office/2020/mipLabelMetadata">
  <clbl:label id="{ea60d57e-af5b-4752-ac57-3e4f28ca11dc}" enabled="1" method="Standard" siteId="{36da45f1-dd2c-4d1f-af13-5abe46b99921}" removed="0"/>
</clbl:labelLis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7</vt:i4>
      </vt:variant>
    </vt:vector>
  </HeadingPairs>
  <TitlesOfParts>
    <vt:vector size="7" baseType="lpstr">
      <vt:lpstr>Executive Summary</vt:lpstr>
      <vt:lpstr>Task Status &amp; Volume</vt:lpstr>
      <vt:lpstr>Open Task Backlog</vt:lpstr>
      <vt:lpstr>Expired Task Rate</vt:lpstr>
      <vt:lpstr>Slow County Deep Dive ★</vt:lpstr>
      <vt:lpstr>Customer-Driven Signals</vt:lpstr>
      <vt:lpstr>Methodology &amp; Caveats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Faruqui, Aadil</cp:lastModifiedBy>
  <cp:revision>0</cp:revision>
  <dcterms:created xsi:type="dcterms:W3CDTF">2026-05-21T19:39:25Z</dcterms:created>
  <dcterms:modified xsi:type="dcterms:W3CDTF">2026-05-21T20:59:39Z</dcterms:modified>
  <dc:language>en-US</dc:language>
</cp:coreProperties>
</file>